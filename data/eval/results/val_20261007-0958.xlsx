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B - chi tiết" sheetId="2" state="visible" r:id="rId2"/>
    <sheet name="KB - theo câu" sheetId="3" state="visible" r:id="rId3"/>
    <sheet name="Review" sheetId="4" state="visible" r:id="rId4"/>
    <sheet name="Ngoài phạm vi" sheetId="5" state="visible" r:id="rId5"/>
  </sheets>
  <definedNames>
    <definedName name="_xlnm._FilterDatabase" localSheetId="1" hidden="1">'KB - chi tiết'!$A$4:$K$216</definedName>
    <definedName name="_xlnm._FilterDatabase" localSheetId="2" hidden="1">'KB - theo câu'!$A$4:$H$57</definedName>
    <definedName name="_xlnm._FilterDatabase" localSheetId="3" hidden="1">'Review'!$A$4:$I$49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b val="1"/>
      <color rgb="000000FF"/>
    </font>
    <font>
      <name val="Arial"/>
    </font>
    <font>
      <name val="Arial"/>
      <color rgb="000000FF"/>
    </font>
    <font>
      <name val="Arial"/>
      <b val="1"/>
      <sz val="12"/>
    </font>
    <font>
      <name val="Arial"/>
      <b val="1"/>
      <sz val="10"/>
    </font>
    <font>
      <name val="Arial"/>
      <color rgb="0000800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9" fontId="4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9" fontId="10" fillId="0" borderId="1" applyAlignment="1" pivotButton="0" quotePrefix="0" xfId="0">
      <alignment vertical="top"/>
    </xf>
    <xf numFmtId="164" fontId="12" fillId="0" borderId="1" applyAlignment="1" pivotButton="0" quotePrefix="0" xfId="0">
      <alignment vertical="top"/>
    </xf>
    <xf numFmtId="9" fontId="1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9" fontId="4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3" borderId="0" pivotButton="0" quotePrefix="0" xfId="0"/>
    <xf numFmtId="9" fontId="5" fillId="0" borderId="0" pivotButton="0" quotePrefix="0" xfId="0"/>
    <xf numFmtId="164" fontId="4" fillId="0" borderId="1" applyAlignment="1" pivotButton="0" quotePrefix="0" xfId="0">
      <alignment horizontal="center" vertical="top"/>
    </xf>
    <xf numFmtId="0" fontId="7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Kết quả validation search (20261007 09:58)</t>
        </is>
      </c>
    </row>
    <row r="2">
      <c r="A2" s="2" t="inlineStr">
        <is>
          <t>Model e5-large đa ngôn ngữ + BM25 + từ điển Việt-Anh. Bộ held-out, không dùng để chọn model hay viết từ điển.</t>
        </is>
      </c>
    </row>
    <row r="4">
      <c r="A4" s="3" t="inlineStr">
        <is>
          <t>A. Tìm tài liệu trong kb (53 câu)</t>
        </is>
      </c>
    </row>
    <row r="5">
      <c r="A5" s="4" t="inlineStr">
        <is>
          <t>Biến thể</t>
        </is>
      </c>
      <c r="B5" s="4" t="inlineStr">
        <is>
          <t>Số lượt</t>
        </is>
      </c>
      <c r="C5" s="4" t="inlineStr">
        <is>
          <t>Hit@1</t>
        </is>
      </c>
      <c r="D5" s="4" t="inlineStr">
        <is>
          <t>Hit@5</t>
        </is>
      </c>
    </row>
    <row r="6">
      <c r="A6" s="5" t="inlineStr">
        <is>
          <t>Tiếng Anh</t>
        </is>
      </c>
      <c r="B6" s="5">
        <f>COUNTIF('KB - chi tiết'!$C$5:$C$216,A6)</f>
        <v/>
      </c>
      <c r="C6" s="6">
        <f>AVERAGEIF('KB - chi tiết'!$C$5:$C$216,A6,'KB - chi tiết'!$F$5:$F$216)</f>
        <v/>
      </c>
      <c r="D6" s="6">
        <f>AVERAGEIF('KB - chi tiết'!$C$5:$C$216,A6,'KB - chi tiết'!$G$5:$G$216)</f>
        <v/>
      </c>
    </row>
    <row r="7">
      <c r="A7" s="5" t="inlineStr">
        <is>
          <t>Tiếng Việt có dấu</t>
        </is>
      </c>
      <c r="B7" s="5">
        <f>COUNTIF('KB - chi tiết'!$C$5:$C$216,A7)</f>
        <v/>
      </c>
      <c r="C7" s="6">
        <f>AVERAGEIF('KB - chi tiết'!$C$5:$C$216,A7,'KB - chi tiết'!$F$5:$F$216)</f>
        <v/>
      </c>
      <c r="D7" s="6">
        <f>AVERAGEIF('KB - chi tiết'!$C$5:$C$216,A7,'KB - chi tiết'!$G$5:$G$216)</f>
        <v/>
      </c>
    </row>
    <row r="8">
      <c r="A8" s="5" t="inlineStr">
        <is>
          <t>Không dấu</t>
        </is>
      </c>
      <c r="B8" s="5">
        <f>COUNTIF('KB - chi tiết'!$C$5:$C$216,A8)</f>
        <v/>
      </c>
      <c r="C8" s="6">
        <f>AVERAGEIF('KB - chi tiết'!$C$5:$C$216,A8,'KB - chi tiết'!$F$5:$F$216)</f>
        <v/>
      </c>
      <c r="D8" s="6">
        <f>AVERAGEIF('KB - chi tiết'!$C$5:$C$216,A8,'KB - chi tiết'!$G$5:$G$216)</f>
        <v/>
      </c>
    </row>
    <row r="9">
      <c r="A9" s="5" t="inlineStr">
        <is>
          <t>Kiểu chat</t>
        </is>
      </c>
      <c r="B9" s="5">
        <f>COUNTIF('KB - chi tiết'!$C$5:$C$216,A9)</f>
        <v/>
      </c>
      <c r="C9" s="6">
        <f>AVERAGEIF('KB - chi tiết'!$C$5:$C$216,A9,'KB - chi tiết'!$F$5:$F$216)</f>
        <v/>
      </c>
      <c r="D9" s="6">
        <f>AVERAGEIF('KB - chi tiết'!$C$5:$C$216,A9,'KB - chi tiết'!$G$5:$G$216)</f>
        <v/>
      </c>
    </row>
    <row r="10">
      <c r="A10" s="7" t="inlineStr">
        <is>
          <t>Tất cả</t>
        </is>
      </c>
      <c r="B10" s="7">
        <f>COUNTA('KB - chi tiết'!$C$5:$C$216)</f>
        <v/>
      </c>
      <c r="C10" s="8">
        <f>AVERAGE('KB - chi tiết'!$F$5:$F$216)</f>
        <v/>
      </c>
      <c r="D10" s="8">
        <f>AVERAGE('KB - chi tiết'!$G$5:$G$216)</f>
        <v/>
      </c>
    </row>
    <row r="12">
      <c r="A12" s="3" t="inlineStr">
        <is>
          <t>Hit@5 theo nhóm câu hỏi</t>
        </is>
      </c>
    </row>
    <row r="13">
      <c r="A13" s="4" t="inlineStr">
        <is>
          <t>Nhóm</t>
        </is>
      </c>
      <c r="B13" s="4" t="inlineStr">
        <is>
          <t>Tiếng Anh</t>
        </is>
      </c>
      <c r="C13" s="4" t="inlineStr">
        <is>
          <t>Tiếng Việt có dấu</t>
        </is>
      </c>
      <c r="D13" s="4" t="inlineStr">
        <is>
          <t>Không dấu</t>
        </is>
      </c>
      <c r="E13" s="4" t="inlineStr">
        <is>
          <t>Kiểu chat</t>
        </is>
      </c>
    </row>
    <row r="14">
      <c r="A14" s="5" t="inlineStr">
        <is>
          <t>Sản phẩm</t>
        </is>
      </c>
      <c r="B14" s="6">
        <f>AVERAGEIFS('KB - chi tiết'!$G$5:$G$216,'KB - chi tiết'!$B$5:$B$216,$A14,'KB - chi tiết'!$C$5:$C$216,B$13)</f>
        <v/>
      </c>
      <c r="C14" s="6">
        <f>AVERAGEIFS('KB - chi tiết'!$G$5:$G$216,'KB - chi tiết'!$B$5:$B$216,$A14,'KB - chi tiết'!$C$5:$C$216,C$13)</f>
        <v/>
      </c>
      <c r="D14" s="6">
        <f>AVERAGEIFS('KB - chi tiết'!$G$5:$G$216,'KB - chi tiết'!$B$5:$B$216,$A14,'KB - chi tiết'!$C$5:$C$216,D$13)</f>
        <v/>
      </c>
      <c r="E14" s="6">
        <f>AVERAGEIFS('KB - chi tiết'!$G$5:$G$216,'KB - chi tiết'!$B$5:$B$216,$A14,'KB - chi tiết'!$C$5:$C$216,E$13)</f>
        <v/>
      </c>
    </row>
    <row r="15">
      <c r="A15" s="5" t="inlineStr">
        <is>
          <t>Insight</t>
        </is>
      </c>
      <c r="B15" s="6">
        <f>AVERAGEIFS('KB - chi tiết'!$G$5:$G$216,'KB - chi tiết'!$B$5:$B$216,$A15,'KB - chi tiết'!$C$5:$C$216,B$13)</f>
        <v/>
      </c>
      <c r="C15" s="6">
        <f>AVERAGEIFS('KB - chi tiết'!$G$5:$G$216,'KB - chi tiết'!$B$5:$B$216,$A15,'KB - chi tiết'!$C$5:$C$216,C$13)</f>
        <v/>
      </c>
      <c r="D15" s="6">
        <f>AVERAGEIFS('KB - chi tiết'!$G$5:$G$216,'KB - chi tiết'!$B$5:$B$216,$A15,'KB - chi tiết'!$C$5:$C$216,D$13)</f>
        <v/>
      </c>
      <c r="E15" s="6">
        <f>AVERAGEIFS('KB - chi tiết'!$G$5:$G$216,'KB - chi tiết'!$B$5:$B$216,$A15,'KB - chi tiết'!$C$5:$C$216,E$13)</f>
        <v/>
      </c>
    </row>
    <row r="16">
      <c r="A16" s="5" t="inlineStr">
        <is>
          <t>Compliance</t>
        </is>
      </c>
      <c r="B16" s="6">
        <f>AVERAGEIFS('KB - chi tiết'!$G$5:$G$216,'KB - chi tiết'!$B$5:$B$216,$A16,'KB - chi tiết'!$C$5:$C$216,B$13)</f>
        <v/>
      </c>
      <c r="C16" s="6">
        <f>AVERAGEIFS('KB - chi tiết'!$G$5:$G$216,'KB - chi tiết'!$B$5:$B$216,$A16,'KB - chi tiết'!$C$5:$C$216,C$13)</f>
        <v/>
      </c>
      <c r="D16" s="6">
        <f>AVERAGEIFS('KB - chi tiết'!$G$5:$G$216,'KB - chi tiết'!$B$5:$B$216,$A16,'KB - chi tiết'!$C$5:$C$216,D$13)</f>
        <v/>
      </c>
      <c r="E16" s="6">
        <f>AVERAGEIFS('KB - chi tiết'!$G$5:$G$216,'KB - chi tiết'!$B$5:$B$216,$A16,'KB - chi tiết'!$C$5:$C$216,E$13)</f>
        <v/>
      </c>
    </row>
    <row r="17">
      <c r="A17" s="5" t="inlineStr">
        <is>
          <t>SOP</t>
        </is>
      </c>
      <c r="B17" s="6">
        <f>AVERAGEIFS('KB - chi tiết'!$G$5:$G$216,'KB - chi tiết'!$B$5:$B$216,$A17,'KB - chi tiết'!$C$5:$C$216,B$13)</f>
        <v/>
      </c>
      <c r="C17" s="6">
        <f>AVERAGEIFS('KB - chi tiết'!$G$5:$G$216,'KB - chi tiết'!$B$5:$B$216,$A17,'KB - chi tiết'!$C$5:$C$216,C$13)</f>
        <v/>
      </c>
      <c r="D17" s="6">
        <f>AVERAGEIFS('KB - chi tiết'!$G$5:$G$216,'KB - chi tiết'!$B$5:$B$216,$A17,'KB - chi tiết'!$C$5:$C$216,D$13)</f>
        <v/>
      </c>
      <c r="E17" s="6">
        <f>AVERAGEIFS('KB - chi tiết'!$G$5:$G$216,'KB - chi tiết'!$B$5:$B$216,$A17,'KB - chi tiết'!$C$5:$C$216,E$13)</f>
        <v/>
      </c>
    </row>
    <row r="18">
      <c r="A18" s="5" t="inlineStr">
        <is>
          <t>Chính sách</t>
        </is>
      </c>
      <c r="B18" s="6">
        <f>AVERAGEIFS('KB - chi tiết'!$G$5:$G$216,'KB - chi tiết'!$B$5:$B$216,$A18,'KB - chi tiết'!$C$5:$C$216,B$13)</f>
        <v/>
      </c>
      <c r="C18" s="6">
        <f>AVERAGEIFS('KB - chi tiết'!$G$5:$G$216,'KB - chi tiết'!$B$5:$B$216,$A18,'KB - chi tiết'!$C$5:$C$216,C$13)</f>
        <v/>
      </c>
      <c r="D18" s="6">
        <f>AVERAGEIFS('KB - chi tiết'!$G$5:$G$216,'KB - chi tiết'!$B$5:$B$216,$A18,'KB - chi tiết'!$C$5:$C$216,D$13)</f>
        <v/>
      </c>
      <c r="E18" s="6">
        <f>AVERAGEIFS('KB - chi tiết'!$G$5:$G$216,'KB - chi tiết'!$B$5:$B$216,$A18,'KB - chi tiết'!$C$5:$C$216,E$13)</f>
        <v/>
      </c>
    </row>
    <row r="19">
      <c r="A19" s="5" t="inlineStr">
        <is>
          <t>Creative</t>
        </is>
      </c>
      <c r="B19" s="6">
        <f>AVERAGEIFS('KB - chi tiết'!$G$5:$G$216,'KB - chi tiết'!$B$5:$B$216,$A19,'KB - chi tiết'!$C$5:$C$216,B$13)</f>
        <v/>
      </c>
      <c r="C19" s="6">
        <f>AVERAGEIFS('KB - chi tiết'!$G$5:$G$216,'KB - chi tiết'!$B$5:$B$216,$A19,'KB - chi tiết'!$C$5:$C$216,C$13)</f>
        <v/>
      </c>
      <c r="D19" s="6">
        <f>AVERAGEIFS('KB - chi tiết'!$G$5:$G$216,'KB - chi tiết'!$B$5:$B$216,$A19,'KB - chi tiết'!$C$5:$C$216,D$13)</f>
        <v/>
      </c>
      <c r="E19" s="6">
        <f>AVERAGEIFS('KB - chi tiết'!$G$5:$G$216,'KB - chi tiết'!$B$5:$B$216,$A19,'KB - chi tiết'!$C$5:$C$216,E$13)</f>
        <v/>
      </c>
    </row>
    <row r="20">
      <c r="A20" s="5" t="inlineStr">
        <is>
          <t>Brand</t>
        </is>
      </c>
      <c r="B20" s="6">
        <f>AVERAGEIFS('KB - chi tiết'!$G$5:$G$216,'KB - chi tiết'!$B$5:$B$216,$A20,'KB - chi tiết'!$C$5:$C$216,B$13)</f>
        <v/>
      </c>
      <c r="C20" s="6">
        <f>AVERAGEIFS('KB - chi tiết'!$G$5:$G$216,'KB - chi tiết'!$B$5:$B$216,$A20,'KB - chi tiết'!$C$5:$C$216,C$13)</f>
        <v/>
      </c>
      <c r="D20" s="6">
        <f>AVERAGEIFS('KB - chi tiết'!$G$5:$G$216,'KB - chi tiết'!$B$5:$B$216,$A20,'KB - chi tiết'!$C$5:$C$216,D$13)</f>
        <v/>
      </c>
      <c r="E20" s="6">
        <f>AVERAGEIFS('KB - chi tiết'!$G$5:$G$216,'KB - chi tiết'!$B$5:$B$216,$A20,'KB - chi tiết'!$C$5:$C$216,E$13)</f>
        <v/>
      </c>
    </row>
    <row r="21">
      <c r="A21" s="5" t="inlineStr">
        <is>
          <t>Khoảng trống dữ liệu</t>
        </is>
      </c>
      <c r="B21" s="6">
        <f>AVERAGEIFS('KB - chi tiết'!$G$5:$G$216,'KB - chi tiết'!$B$5:$B$216,$A21,'KB - chi tiết'!$C$5:$C$216,B$13)</f>
        <v/>
      </c>
      <c r="C21" s="6">
        <f>AVERAGEIFS('KB - chi tiết'!$G$5:$G$216,'KB - chi tiết'!$B$5:$B$216,$A21,'KB - chi tiết'!$C$5:$C$216,C$13)</f>
        <v/>
      </c>
      <c r="D21" s="6">
        <f>AVERAGEIFS('KB - chi tiết'!$G$5:$G$216,'KB - chi tiết'!$B$5:$B$216,$A21,'KB - chi tiết'!$C$5:$C$216,D$13)</f>
        <v/>
      </c>
      <c r="E21" s="6">
        <f>AVERAGEIFS('KB - chi tiết'!$G$5:$G$216,'KB - chi tiết'!$B$5:$B$216,$A21,'KB - chi tiết'!$C$5:$C$216,E$13)</f>
        <v/>
      </c>
    </row>
    <row r="23">
      <c r="A23" s="3" t="inlineStr">
        <is>
          <t>B. Tìm review có bộ lọc (15 câu)</t>
        </is>
      </c>
    </row>
    <row r="24">
      <c r="A24" s="4" t="inlineStr">
        <is>
          <t>Biến thể</t>
        </is>
      </c>
      <c r="B24" s="4" t="inlineStr">
        <is>
          <t>Số câu</t>
        </is>
      </c>
      <c r="C24" s="4" t="inlineStr">
        <is>
          <t>Precision@5</t>
        </is>
      </c>
      <c r="D24" s="4" t="inlineStr">
        <is>
          <t>Vi phạm bộ lọc</t>
        </is>
      </c>
    </row>
    <row r="25">
      <c r="A25" s="5" t="inlineStr">
        <is>
          <t>Tiếng Anh</t>
        </is>
      </c>
      <c r="B25" s="5">
        <f>COUNTIF(Review!$B$5:$B$49,A25)</f>
        <v/>
      </c>
      <c r="C25" s="6">
        <f>AVERAGEIF(Review!$B$5:$B$49,A25,Review!$G$5:$G$49)</f>
        <v/>
      </c>
      <c r="D25" s="5">
        <f>SUMIF(Review!$B$5:$B$49,A25,Review!$H$5:$H$49)</f>
        <v/>
      </c>
    </row>
    <row r="26">
      <c r="A26" s="5" t="inlineStr">
        <is>
          <t>Tiếng Việt có dấu</t>
        </is>
      </c>
      <c r="B26" s="5">
        <f>COUNTIF(Review!$B$5:$B$49,A26)</f>
        <v/>
      </c>
      <c r="C26" s="6">
        <f>AVERAGEIF(Review!$B$5:$B$49,A26,Review!$G$5:$G$49)</f>
        <v/>
      </c>
      <c r="D26" s="5">
        <f>SUMIF(Review!$B$5:$B$49,A26,Review!$H$5:$H$49)</f>
        <v/>
      </c>
    </row>
    <row r="27">
      <c r="A27" s="5" t="inlineStr">
        <is>
          <t>Không dấu</t>
        </is>
      </c>
      <c r="B27" s="5">
        <f>COUNTIF(Review!$B$5:$B$49,A27)</f>
        <v/>
      </c>
      <c r="C27" s="6">
        <f>AVERAGEIF(Review!$B$5:$B$49,A27,Review!$G$5:$G$49)</f>
        <v/>
      </c>
      <c r="D27" s="5">
        <f>SUMIF(Review!$B$5:$B$49,A27,Review!$H$5:$H$49)</f>
        <v/>
      </c>
    </row>
    <row r="29">
      <c r="A29" s="3" t="inlineStr">
        <is>
          <t>C. Câu hỏi ngoài phạm vi (12 câu x 2 ngôn ngữ)</t>
        </is>
      </c>
    </row>
    <row r="30">
      <c r="A30" s="5" t="inlineStr">
        <is>
          <t>Ngưỡng cosine đang dùng</t>
        </is>
      </c>
      <c r="B30" s="5" t="n"/>
      <c r="C30" s="9">
        <f>'Ngoài phạm vi'!C4</f>
        <v/>
      </c>
      <c r="D30" s="5" t="n"/>
    </row>
    <row r="31">
      <c r="A31" s="5" t="inlineStr">
        <is>
          <t>Tỉ lệ câu ngoài phạm vi bị loại</t>
        </is>
      </c>
      <c r="B31" s="5" t="n"/>
      <c r="C31" s="10">
        <f>'Ngoài phạm vi'!C5</f>
        <v/>
      </c>
      <c r="D31" s="5" t="n"/>
    </row>
    <row r="32">
      <c r="A32" s="5" t="inlineStr">
        <is>
          <t>Điểm cao nhất của câu ngoài phạm vi</t>
        </is>
      </c>
      <c r="B32" s="5" t="n"/>
      <c r="C32" s="9">
        <f>MAX('Ngoài phạm vi'!E8:E31)</f>
        <v/>
      </c>
      <c r="D32" s="5" t="n"/>
    </row>
    <row r="33">
      <c r="A33" s="5" t="inlineStr">
        <is>
          <t>Trung vị điểm câu hợp lệ</t>
        </is>
      </c>
      <c r="B33" s="5" t="n"/>
      <c r="C33" s="9">
        <f>'Ngoài phạm vi'!C35</f>
        <v/>
      </c>
      <c r="D33" s="5" t="n"/>
    </row>
    <row r="35">
      <c r="A35" s="2" t="inlineStr">
        <is>
          <t>Màu: xanh ≥ 85%, vàng 70-85%, đỏ &lt; 70%. Chữ xanh lá = liên kết sang sheet khác.</t>
        </is>
      </c>
    </row>
  </sheetData>
  <conditionalFormatting sqref="C6:D10">
    <cfRule type="cellIs" priority="1" operator="greaterThanOrEqual" dxfId="0">
      <formula>0.85</formula>
    </cfRule>
    <cfRule type="cellIs" priority="2" operator="lessThan" dxfId="1">
      <formula>0.7</formula>
    </cfRule>
    <cfRule type="cellIs" priority="3" operator="between" dxfId="2">
      <formula>0.7</formula>
      <formula>0.85</formula>
    </cfRule>
  </conditionalFormatting>
  <conditionalFormatting sqref="B14:E21">
    <cfRule type="cellIs" priority="4" operator="greaterThanOrEqual" dxfId="0">
      <formula>0.85</formula>
    </cfRule>
    <cfRule type="cellIs" priority="5" operator="lessThan" dxfId="1">
      <formula>0.7</formula>
    </cfRule>
    <cfRule type="cellIs" priority="6" operator="between" dxfId="2">
      <formula>0.7</formula>
      <formula>0.85</formula>
    </cfRule>
  </conditionalFormatting>
  <conditionalFormatting sqref="C25:C27">
    <cfRule type="cellIs" priority="7" operator="greaterThanOrEqual" dxfId="0">
      <formula>0.85</formula>
    </cfRule>
    <cfRule type="cellIs" priority="8" operator="lessThan" dxfId="1">
      <formula>0.7</formula>
    </cfRule>
    <cfRule type="cellIs" priority="9" operator="between" dxfId="2">
      <formula>0.7</formula>
      <formula>0.85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48" customWidth="1" min="4" max="4"/>
    <col width="7" customWidth="1" min="5" max="5"/>
    <col width="7" customWidth="1" min="6" max="6"/>
    <col width="7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Tìm tài liệu trong kb: từng lượt chạy</t>
        </is>
      </c>
    </row>
    <row r="2">
      <c r="A2" s="2" t="inlineStr">
        <is>
          <t>Hạng = vị trí của chunk đúng đầu tiên trong top 10 (trống = không tìm thấy). Top 5 = 1 nếu hạng ≤ 5.</t>
        </is>
      </c>
    </row>
    <row r="4">
      <c r="A4" s="4" t="inlineStr">
        <is>
          <t>ID</t>
        </is>
      </c>
      <c r="B4" s="4" t="inlineStr">
        <is>
          <t>Nhóm</t>
        </is>
      </c>
      <c r="C4" s="4" t="inlineStr">
        <is>
          <t>Biến thể</t>
        </is>
      </c>
      <c r="D4" s="4" t="inlineStr">
        <is>
          <t>Câu hỏi</t>
        </is>
      </c>
      <c r="E4" s="4" t="inlineStr">
        <is>
          <t>Hạng</t>
        </is>
      </c>
      <c r="F4" s="4" t="inlineStr">
        <is>
          <t>Top 1</t>
        </is>
      </c>
      <c r="G4" s="4" t="inlineStr">
        <is>
          <t>Top 5</t>
        </is>
      </c>
      <c r="H4" s="4" t="inlineStr">
        <is>
          <t>Đáp án mong đợi</t>
        </is>
      </c>
      <c r="I4" s="4" t="inlineStr">
        <is>
          <t>Kết quả 1</t>
        </is>
      </c>
      <c r="J4" s="4" t="inlineStr">
        <is>
          <t>Kết quả 2</t>
        </is>
      </c>
      <c r="K4" s="4" t="inlineStr">
        <is>
          <t>Kết quả 3</t>
        </is>
      </c>
    </row>
    <row r="5">
      <c r="A5" s="5" t="inlineStr">
        <is>
          <t>V01</t>
        </is>
      </c>
      <c r="B5" s="5" t="inlineStr">
        <is>
          <t>Sản phẩm</t>
        </is>
      </c>
      <c r="C5" s="5" t="inlineStr">
        <is>
          <t>Tiếng Anh</t>
        </is>
      </c>
      <c r="D5" s="11" t="inlineStr">
        <is>
          <t>What is the price of the Avocado barrier serum?</t>
        </is>
      </c>
      <c r="E5" s="12" t="n">
        <v>1</v>
      </c>
      <c r="F5" s="12">
        <f>IF(E5=1,1,0)</f>
        <v/>
      </c>
      <c r="G5" s="12">
        <f>IF(AND(E5&lt;&gt;"",E5&lt;=5),1,0)</f>
        <v/>
      </c>
      <c r="H5" s="11" t="inlineStr">
        <is>
          <t>product/P470529#overview</t>
        </is>
      </c>
      <c r="I5" s="11" t="inlineStr">
        <is>
          <t>product/P470529#overview</t>
        </is>
      </c>
      <c r="J5" s="11" t="inlineStr">
        <is>
          <t>catalog/overview#avocado-line</t>
        </is>
      </c>
      <c r="K5" s="11" t="inlineStr">
        <is>
          <t>research/insights-P470529#by-year</t>
        </is>
      </c>
    </row>
    <row r="6">
      <c r="A6" s="5" t="inlineStr">
        <is>
          <t>V01</t>
        </is>
      </c>
      <c r="B6" s="5" t="inlineStr">
        <is>
          <t>Sản phẩm</t>
        </is>
      </c>
      <c r="C6" s="5" t="inlineStr">
        <is>
          <t>Tiếng Việt có dấu</t>
        </is>
      </c>
      <c r="D6" s="11" t="inlineStr">
        <is>
          <t>Serum Avocado phục hồi hàng rào da giá bao nhiêu?</t>
        </is>
      </c>
      <c r="E6" s="12" t="n">
        <v>1</v>
      </c>
      <c r="F6" s="12">
        <f>IF(E6=1,1,0)</f>
        <v/>
      </c>
      <c r="G6" s="12">
        <f>IF(AND(E6&lt;&gt;"",E6&lt;=5),1,0)</f>
        <v/>
      </c>
      <c r="H6" s="11" t="inlineStr">
        <is>
          <t>product/P470529#overview</t>
        </is>
      </c>
      <c r="I6" s="11" t="inlineStr">
        <is>
          <t>product/P470529#overview</t>
        </is>
      </c>
      <c r="J6" s="11" t="inlineStr">
        <is>
          <t>catalog/overview#avocado-line</t>
        </is>
      </c>
      <c r="K6" s="11" t="inlineStr">
        <is>
          <t>policy/shipping#what-the-page-does-not-state</t>
        </is>
      </c>
    </row>
    <row r="7">
      <c r="A7" s="5" t="inlineStr">
        <is>
          <t>V01</t>
        </is>
      </c>
      <c r="B7" s="5" t="inlineStr">
        <is>
          <t>Sản phẩm</t>
        </is>
      </c>
      <c r="C7" s="5" t="inlineStr">
        <is>
          <t>Không dấu</t>
        </is>
      </c>
      <c r="D7" s="11" t="inlineStr">
        <is>
          <t>Serum Avocado phuc hoi hang rao da gia bao nhieu?</t>
        </is>
      </c>
      <c r="E7" s="12" t="n">
        <v>2</v>
      </c>
      <c r="F7" s="12">
        <f>IF(E7=1,1,0)</f>
        <v/>
      </c>
      <c r="G7" s="12">
        <f>IF(AND(E7&lt;&gt;"",E7&lt;=5),1,0)</f>
        <v/>
      </c>
      <c r="H7" s="11" t="inlineStr">
        <is>
          <t>product/P470529#overview</t>
        </is>
      </c>
      <c r="I7" s="11" t="inlineStr">
        <is>
          <t>catalog/overview#avocado-line</t>
        </is>
      </c>
      <c r="J7" s="11" t="inlineStr">
        <is>
          <t>product/P470529#overview</t>
        </is>
      </c>
      <c r="K7" s="11" t="inlineStr">
        <is>
          <t>creative/learnings-2023#ct-09</t>
        </is>
      </c>
    </row>
    <row r="8">
      <c r="A8" s="5" t="inlineStr">
        <is>
          <t>V01</t>
        </is>
      </c>
      <c r="B8" s="5" t="inlineStr">
        <is>
          <t>Sản phẩm</t>
        </is>
      </c>
      <c r="C8" s="5" t="inlineStr">
        <is>
          <t>Kiểu chat</t>
        </is>
      </c>
      <c r="D8" s="11" t="inlineStr">
        <is>
          <t>serum bo phuc hoi bn tien v</t>
        </is>
      </c>
      <c r="E8" s="12" t="n">
        <v>5</v>
      </c>
      <c r="F8" s="12">
        <f>IF(E8=1,1,0)</f>
        <v/>
      </c>
      <c r="G8" s="12">
        <f>IF(AND(E8&lt;&gt;"",E8&lt;=5),1,0)</f>
        <v/>
      </c>
      <c r="H8" s="11" t="inlineStr">
        <is>
          <t>product/P470529#overview</t>
        </is>
      </c>
      <c r="I8" s="11" t="inlineStr">
        <is>
          <t>catalog/overview#avocado-line</t>
        </is>
      </c>
      <c r="J8" s="11" t="inlineStr">
        <is>
          <t>catalog/overview#strawberry-line</t>
        </is>
      </c>
      <c r="K8" s="11" t="inlineStr">
        <is>
          <t>product/P482535#ingredients</t>
        </is>
      </c>
    </row>
    <row r="9">
      <c r="A9" s="5" t="inlineStr">
        <is>
          <t>V02</t>
        </is>
      </c>
      <c r="B9" s="5" t="inlineStr">
        <is>
          <t>Sản phẩm</t>
        </is>
      </c>
      <c r="C9" s="5" t="inlineStr">
        <is>
          <t>Tiếng Anh</t>
        </is>
      </c>
      <c r="D9" s="11" t="inlineStr">
        <is>
          <t>Does the Guava eye cream contain vitamin C?</t>
        </is>
      </c>
      <c r="E9" s="12" t="n">
        <v>2</v>
      </c>
      <c r="F9" s="12">
        <f>IF(E9=1,1,0)</f>
        <v/>
      </c>
      <c r="G9" s="12">
        <f>IF(AND(E9&lt;&gt;"",E9&lt;=5),1,0)</f>
        <v/>
      </c>
      <c r="H9" s="11" t="inlineStr">
        <is>
          <t>product/P501760</t>
        </is>
      </c>
      <c r="I9" s="11" t="inlineStr">
        <is>
          <t>catalog/overview#guava-line</t>
        </is>
      </c>
      <c r="J9" s="11" t="inlineStr">
        <is>
          <t>product/P501760#overview</t>
        </is>
      </c>
      <c r="K9" s="11" t="inlineStr">
        <is>
          <t>research/insights-line-guava#products-in-this-line</t>
        </is>
      </c>
    </row>
    <row r="10">
      <c r="A10" s="5" t="inlineStr">
        <is>
          <t>V02</t>
        </is>
      </c>
      <c r="B10" s="5" t="inlineStr">
        <is>
          <t>Sản phẩm</t>
        </is>
      </c>
      <c r="C10" s="5" t="inlineStr">
        <is>
          <t>Tiếng Việt có dấu</t>
        </is>
      </c>
      <c r="D10" s="11" t="inlineStr">
        <is>
          <t>Kem mắt Guava có vitamin C không?</t>
        </is>
      </c>
      <c r="E10" s="12" t="n">
        <v>2</v>
      </c>
      <c r="F10" s="12">
        <f>IF(E10=1,1,0)</f>
        <v/>
      </c>
      <c r="G10" s="12">
        <f>IF(AND(E10&lt;&gt;"",E10&lt;=5),1,0)</f>
        <v/>
      </c>
      <c r="H10" s="11" t="inlineStr">
        <is>
          <t>product/P501760</t>
        </is>
      </c>
      <c r="I10" s="11" t="inlineStr">
        <is>
          <t>research/insights-line-guava#products-in-this-line</t>
        </is>
      </c>
      <c r="J10" s="11" t="inlineStr">
        <is>
          <t>product/P501760#overview</t>
        </is>
      </c>
      <c r="K10" s="11" t="inlineStr">
        <is>
          <t>catalog/overview#guava-line</t>
        </is>
      </c>
    </row>
    <row r="11">
      <c r="A11" s="5" t="inlineStr">
        <is>
          <t>V02</t>
        </is>
      </c>
      <c r="B11" s="5" t="inlineStr">
        <is>
          <t>Sản phẩm</t>
        </is>
      </c>
      <c r="C11" s="5" t="inlineStr">
        <is>
          <t>Không dấu</t>
        </is>
      </c>
      <c r="D11" s="11" t="inlineStr">
        <is>
          <t>Kem mat Guava co vitamin C khong?</t>
        </is>
      </c>
      <c r="E11" s="12" t="n">
        <v>1</v>
      </c>
      <c r="F11" s="12">
        <f>IF(E11=1,1,0)</f>
        <v/>
      </c>
      <c r="G11" s="12">
        <f>IF(AND(E11&lt;&gt;"",E11&lt;=5),1,0)</f>
        <v/>
      </c>
      <c r="H11" s="11" t="inlineStr">
        <is>
          <t>product/P501760</t>
        </is>
      </c>
      <c r="I11" s="11" t="inlineStr">
        <is>
          <t>product/P501760#overview</t>
        </is>
      </c>
      <c r="J11" s="11" t="inlineStr">
        <is>
          <t>catalog/overview#guava-line</t>
        </is>
      </c>
      <c r="K11" s="11" t="inlineStr">
        <is>
          <t>research/insights-line-guava#products-in-this-line</t>
        </is>
      </c>
    </row>
    <row r="12">
      <c r="A12" s="5" t="inlineStr">
        <is>
          <t>V02</t>
        </is>
      </c>
      <c r="B12" s="5" t="inlineStr">
        <is>
          <t>Sản phẩm</t>
        </is>
      </c>
      <c r="C12" s="5" t="inlineStr">
        <is>
          <t>Kiểu chat</t>
        </is>
      </c>
      <c r="D12" s="11" t="inlineStr">
        <is>
          <t>kem mat oi co vit C hok</t>
        </is>
      </c>
      <c r="E12" s="12" t="n">
        <v>1</v>
      </c>
      <c r="F12" s="12">
        <f>IF(E12=1,1,0)</f>
        <v/>
      </c>
      <c r="G12" s="12">
        <f>IF(AND(E12&lt;&gt;"",E12&lt;=5),1,0)</f>
        <v/>
      </c>
      <c r="H12" s="11" t="inlineStr">
        <is>
          <t>product/P501760</t>
        </is>
      </c>
      <c r="I12" s="11" t="inlineStr">
        <is>
          <t>product/P501760#overview</t>
        </is>
      </c>
      <c r="J12" s="11" t="inlineStr">
        <is>
          <t>catalog/overview#guava-line</t>
        </is>
      </c>
      <c r="K12" s="11" t="inlineStr">
        <is>
          <t>research/insights-line-guava#products-in-this-line</t>
        </is>
      </c>
    </row>
    <row r="13">
      <c r="A13" s="5" t="inlineStr">
        <is>
          <t>V03</t>
        </is>
      </c>
      <c r="B13" s="5" t="inlineStr">
        <is>
          <t>Sản phẩm</t>
        </is>
      </c>
      <c r="C13" s="5" t="inlineStr">
        <is>
          <t>Tiếng Anh</t>
        </is>
      </c>
      <c r="D13" s="11" t="inlineStr">
        <is>
          <t>What size is the Watermelon Glow facial mist?</t>
        </is>
      </c>
      <c r="E13" s="12" t="n">
        <v>1</v>
      </c>
      <c r="F13" s="12">
        <f>IF(E13=1,1,0)</f>
        <v/>
      </c>
      <c r="G13" s="12">
        <f>IF(AND(E13&lt;&gt;"",E13&lt;=5),1,0)</f>
        <v/>
      </c>
      <c r="H13" s="11" t="inlineStr">
        <is>
          <t>product/P442744#overview</t>
        </is>
      </c>
      <c r="I13" s="11" t="inlineStr">
        <is>
          <t>product/P442744#overview</t>
        </is>
      </c>
      <c r="J13" s="11" t="inlineStr">
        <is>
          <t>catalog/overview#watermelon-line</t>
        </is>
      </c>
      <c r="K13" s="11" t="inlineStr">
        <is>
          <t>product/P467762#overview</t>
        </is>
      </c>
    </row>
    <row r="14">
      <c r="A14" s="5" t="inlineStr">
        <is>
          <t>V03</t>
        </is>
      </c>
      <c r="B14" s="5" t="inlineStr">
        <is>
          <t>Sản phẩm</t>
        </is>
      </c>
      <c r="C14" s="5" t="inlineStr">
        <is>
          <t>Tiếng Việt có dấu</t>
        </is>
      </c>
      <c r="D14" s="11" t="inlineStr">
        <is>
          <t>Xịt khoáng Watermelon Glow dung tích bao nhiêu?</t>
        </is>
      </c>
      <c r="E14" s="12" t="n">
        <v>1</v>
      </c>
      <c r="F14" s="12">
        <f>IF(E14=1,1,0)</f>
        <v/>
      </c>
      <c r="G14" s="12">
        <f>IF(AND(E14&lt;&gt;"",E14&lt;=5),1,0)</f>
        <v/>
      </c>
      <c r="H14" s="11" t="inlineStr">
        <is>
          <t>product/P442744#overview</t>
        </is>
      </c>
      <c r="I14" s="11" t="inlineStr">
        <is>
          <t>product/P442744#overview</t>
        </is>
      </c>
      <c r="J14" s="11" t="inlineStr">
        <is>
          <t>research/insights-line-watermelon#products-in-this-line</t>
        </is>
      </c>
      <c r="K14" s="11" t="inlineStr">
        <is>
          <t>product/P467762#overview</t>
        </is>
      </c>
    </row>
    <row r="15">
      <c r="A15" s="5" t="inlineStr">
        <is>
          <t>V03</t>
        </is>
      </c>
      <c r="B15" s="5" t="inlineStr">
        <is>
          <t>Sản phẩm</t>
        </is>
      </c>
      <c r="C15" s="5" t="inlineStr">
        <is>
          <t>Không dấu</t>
        </is>
      </c>
      <c r="D15" s="11" t="inlineStr">
        <is>
          <t>Xit khoang Watermelon Glow dung tich bao nhieu?</t>
        </is>
      </c>
      <c r="E15" s="12" t="n">
        <v>2</v>
      </c>
      <c r="F15" s="12">
        <f>IF(E15=1,1,0)</f>
        <v/>
      </c>
      <c r="G15" s="12">
        <f>IF(AND(E15&lt;&gt;"",E15&lt;=5),1,0)</f>
        <v/>
      </c>
      <c r="H15" s="11" t="inlineStr">
        <is>
          <t>product/P442744#overview</t>
        </is>
      </c>
      <c r="I15" s="11" t="inlineStr">
        <is>
          <t>research/insights-line-watermelon#products-in-this-line</t>
        </is>
      </c>
      <c r="J15" s="11" t="inlineStr">
        <is>
          <t>product/P442744#overview</t>
        </is>
      </c>
      <c r="K15" s="11" t="inlineStr">
        <is>
          <t>product/P467762#overview</t>
        </is>
      </c>
    </row>
    <row r="16">
      <c r="A16" s="5" t="inlineStr">
        <is>
          <t>V03</t>
        </is>
      </c>
      <c r="B16" s="5" t="inlineStr">
        <is>
          <t>Sản phẩm</t>
        </is>
      </c>
      <c r="C16" s="5" t="inlineStr">
        <is>
          <t>Kiểu chat</t>
        </is>
      </c>
      <c r="D16" s="11" t="inlineStr">
        <is>
          <t>xit khoang dua hau bao nhieu ml</t>
        </is>
      </c>
      <c r="E16" s="12" t="n">
        <v>2</v>
      </c>
      <c r="F16" s="12">
        <f>IF(E16=1,1,0)</f>
        <v/>
      </c>
      <c r="G16" s="12">
        <f>IF(AND(E16&lt;&gt;"",E16&lt;=5),1,0)</f>
        <v/>
      </c>
      <c r="H16" s="11" t="inlineStr">
        <is>
          <t>product/P442744#overview</t>
        </is>
      </c>
      <c r="I16" s="11" t="inlineStr">
        <is>
          <t>catalog/overview#products-sold-in-more-than-one-size</t>
        </is>
      </c>
      <c r="J16" s="11" t="inlineStr">
        <is>
          <t>product/P442744#overview</t>
        </is>
      </c>
      <c r="K16" s="11" t="inlineStr">
        <is>
          <t>catalog/overview#watermelon-line</t>
        </is>
      </c>
    </row>
    <row r="17">
      <c r="A17" s="5" t="inlineStr">
        <is>
          <t>V04</t>
        </is>
      </c>
      <c r="B17" s="5" t="inlineStr">
        <is>
          <t>Sản phẩm</t>
        </is>
      </c>
      <c r="C17" s="5" t="inlineStr">
        <is>
          <t>Tiếng Anh</t>
        </is>
      </c>
      <c r="D17" s="11" t="inlineStr">
        <is>
          <t>Is the Plum Plump moisturizer available as a mini?</t>
        </is>
      </c>
      <c r="E17" s="12" t="n">
        <v>1</v>
      </c>
      <c r="F17" s="12">
        <f>IF(E17=1,1,0)</f>
        <v/>
      </c>
      <c r="G17" s="12">
        <f>IF(AND(E17&lt;&gt;"",E17&lt;=5),1,0)</f>
        <v/>
      </c>
      <c r="H17" s="11" t="inlineStr">
        <is>
          <t>product/P500472
product/P479327</t>
        </is>
      </c>
      <c r="I17" s="11" t="inlineStr">
        <is>
          <t>product/P500472#overview</t>
        </is>
      </c>
      <c r="J17" s="11" t="inlineStr">
        <is>
          <t>catalog/overview#plum-line</t>
        </is>
      </c>
      <c r="K17" s="11" t="inlineStr">
        <is>
          <t>product/P479327#overview</t>
        </is>
      </c>
    </row>
    <row r="18">
      <c r="A18" s="5" t="inlineStr">
        <is>
          <t>V04</t>
        </is>
      </c>
      <c r="B18" s="5" t="inlineStr">
        <is>
          <t>Sản phẩm</t>
        </is>
      </c>
      <c r="C18" s="5" t="inlineStr">
        <is>
          <t>Tiếng Việt có dấu</t>
        </is>
      </c>
      <c r="D18" s="11" t="inlineStr">
        <is>
          <t>Kem dưỡng Plum Plump có bản mini không?</t>
        </is>
      </c>
      <c r="E18" s="12" t="n">
        <v>1</v>
      </c>
      <c r="F18" s="12">
        <f>IF(E18=1,1,0)</f>
        <v/>
      </c>
      <c r="G18" s="12">
        <f>IF(AND(E18&lt;&gt;"",E18&lt;=5),1,0)</f>
        <v/>
      </c>
      <c r="H18" s="11" t="inlineStr">
        <is>
          <t>product/P500472
product/P479327</t>
        </is>
      </c>
      <c r="I18" s="11" t="inlineStr">
        <is>
          <t>product/P500472#overview</t>
        </is>
      </c>
      <c r="J18" s="11" t="inlineStr">
        <is>
          <t>research/insights-line-plum#products-in-this-line</t>
        </is>
      </c>
      <c r="K18" s="11" t="inlineStr">
        <is>
          <t>catalog/overview#plum-line</t>
        </is>
      </c>
    </row>
    <row r="19">
      <c r="A19" s="5" t="inlineStr">
        <is>
          <t>V04</t>
        </is>
      </c>
      <c r="B19" s="5" t="inlineStr">
        <is>
          <t>Sản phẩm</t>
        </is>
      </c>
      <c r="C19" s="5" t="inlineStr">
        <is>
          <t>Không dấu</t>
        </is>
      </c>
      <c r="D19" s="11" t="inlineStr">
        <is>
          <t>Kem duong Plum Plump co ban mini khong?</t>
        </is>
      </c>
      <c r="E19" s="12" t="n">
        <v>1</v>
      </c>
      <c r="F19" s="12">
        <f>IF(E19=1,1,0)</f>
        <v/>
      </c>
      <c r="G19" s="12">
        <f>IF(AND(E19&lt;&gt;"",E19&lt;=5),1,0)</f>
        <v/>
      </c>
      <c r="H19" s="11" t="inlineStr">
        <is>
          <t>product/P500472
product/P479327</t>
        </is>
      </c>
      <c r="I19" s="11" t="inlineStr">
        <is>
          <t>product/P500472#overview</t>
        </is>
      </c>
      <c r="J19" s="11" t="inlineStr">
        <is>
          <t>catalog/overview#plum-line</t>
        </is>
      </c>
      <c r="K19" s="11" t="inlineStr">
        <is>
          <t>research/insights-line-plum#products-in-this-line</t>
        </is>
      </c>
    </row>
    <row r="20">
      <c r="A20" s="5" t="inlineStr">
        <is>
          <t>V04</t>
        </is>
      </c>
      <c r="B20" s="5" t="inlineStr">
        <is>
          <t>Sản phẩm</t>
        </is>
      </c>
      <c r="C20" s="5" t="inlineStr">
        <is>
          <t>Kiểu chat</t>
        </is>
      </c>
      <c r="D20" s="11" t="inlineStr">
        <is>
          <t>kem duong man co size mini ko</t>
        </is>
      </c>
      <c r="E20" s="12" t="n">
        <v>6</v>
      </c>
      <c r="F20" s="12">
        <f>IF(E20=1,1,0)</f>
        <v/>
      </c>
      <c r="G20" s="12">
        <f>IF(AND(E20&lt;&gt;"",E20&lt;=5),1,0)</f>
        <v/>
      </c>
      <c r="H20" s="11" t="inlineStr">
        <is>
          <t>product/P500472
product/P479327</t>
        </is>
      </c>
      <c r="I20" s="11" t="inlineStr">
        <is>
          <t>catalog/overview#products-sold-in-more-than-one-size</t>
        </is>
      </c>
      <c r="J20" s="11" t="inlineStr">
        <is>
          <t>product/P441323#overview</t>
        </is>
      </c>
      <c r="K20" s="11" t="inlineStr">
        <is>
          <t>catalog/overview#blueberry-line</t>
        </is>
      </c>
    </row>
    <row r="21">
      <c r="A21" s="5" t="inlineStr">
        <is>
          <t>V05</t>
        </is>
      </c>
      <c r="B21" s="5" t="inlineStr">
        <is>
          <t>Sản phẩm</t>
        </is>
      </c>
      <c r="C21" s="5" t="inlineStr">
        <is>
          <t>Tiếng Anh</t>
        </is>
      </c>
      <c r="D21" s="11" t="inlineStr">
        <is>
          <t>Which product is a sunscreen?</t>
        </is>
      </c>
      <c r="E21" s="12" t="n">
        <v>1</v>
      </c>
      <c r="F21" s="12">
        <f>IF(E21=1,1,0)</f>
        <v/>
      </c>
      <c r="G21" s="12">
        <f>IF(AND(E21&lt;&gt;"",E21&lt;=5),1,0)</f>
        <v/>
      </c>
      <c r="H21" s="11" t="inlineStr">
        <is>
          <t>product/P481989</t>
        </is>
      </c>
      <c r="I21" s="11" t="inlineStr">
        <is>
          <t>product/P481989#overview</t>
        </is>
      </c>
      <c r="J21" s="11" t="inlineStr">
        <is>
          <t>brand/claims-policy#cp-05</t>
        </is>
      </c>
      <c r="K21" s="11" t="inlineStr">
        <is>
          <t>compliance/fda-sunscreen-labeling#relevance</t>
        </is>
      </c>
    </row>
    <row r="22">
      <c r="A22" s="5" t="inlineStr">
        <is>
          <t>V05</t>
        </is>
      </c>
      <c r="B22" s="5" t="inlineStr">
        <is>
          <t>Sản phẩm</t>
        </is>
      </c>
      <c r="C22" s="5" t="inlineStr">
        <is>
          <t>Tiếng Việt có dấu</t>
        </is>
      </c>
      <c r="D22" s="11" t="inlineStr">
        <is>
          <t>Sản phẩm nào là kem chống nắng?</t>
        </is>
      </c>
      <c r="E22" s="12" t="n">
        <v>1</v>
      </c>
      <c r="F22" s="12">
        <f>IF(E22=1,1,0)</f>
        <v/>
      </c>
      <c r="G22" s="12">
        <f>IF(AND(E22&lt;&gt;"",E22&lt;=5),1,0)</f>
        <v/>
      </c>
      <c r="H22" s="11" t="inlineStr">
        <is>
          <t>product/P481989</t>
        </is>
      </c>
      <c r="I22" s="11" t="inlineStr">
        <is>
          <t>product/P481989#overview</t>
        </is>
      </c>
      <c r="J22" s="11" t="inlineStr">
        <is>
          <t>brand/claims-policy#cp-05</t>
        </is>
      </c>
      <c r="K22" s="11" t="inlineStr">
        <is>
          <t>compliance/fda-sunscreen-labeling#relevance</t>
        </is>
      </c>
    </row>
    <row r="23">
      <c r="A23" s="5" t="inlineStr">
        <is>
          <t>V05</t>
        </is>
      </c>
      <c r="B23" s="5" t="inlineStr">
        <is>
          <t>Sản phẩm</t>
        </is>
      </c>
      <c r="C23" s="5" t="inlineStr">
        <is>
          <t>Không dấu</t>
        </is>
      </c>
      <c r="D23" s="11" t="inlineStr">
        <is>
          <t>San pham nao la kem chong nang?</t>
        </is>
      </c>
      <c r="E23" s="12" t="n">
        <v>2</v>
      </c>
      <c r="F23" s="12">
        <f>IF(E23=1,1,0)</f>
        <v/>
      </c>
      <c r="G23" s="12">
        <f>IF(AND(E23&lt;&gt;"",E23&lt;=5),1,0)</f>
        <v/>
      </c>
      <c r="H23" s="11" t="inlineStr">
        <is>
          <t>product/P481989</t>
        </is>
      </c>
      <c r="I23" s="11" t="inlineStr">
        <is>
          <t>sop/influencer-brief#product-specific-notes-from-customer-research</t>
        </is>
      </c>
      <c r="J23" s="11" t="inlineStr">
        <is>
          <t>product/P481989#overview</t>
        </is>
      </c>
      <c r="K23" s="11" t="inlineStr">
        <is>
          <t>compliance/fda-sunscreen-labeling#relevance</t>
        </is>
      </c>
    </row>
    <row r="24">
      <c r="A24" s="5" t="inlineStr">
        <is>
          <t>V05</t>
        </is>
      </c>
      <c r="B24" s="5" t="inlineStr">
        <is>
          <t>Sản phẩm</t>
        </is>
      </c>
      <c r="C24" s="5" t="inlineStr">
        <is>
          <t>Kiểu chat</t>
        </is>
      </c>
      <c r="D24" s="11" t="inlineStr">
        <is>
          <t>co kem chong nang ko shop</t>
        </is>
      </c>
      <c r="E24" s="12" t="n">
        <v>1</v>
      </c>
      <c r="F24" s="12">
        <f>IF(E24=1,1,0)</f>
        <v/>
      </c>
      <c r="G24" s="12">
        <f>IF(AND(E24&lt;&gt;"",E24&lt;=5),1,0)</f>
        <v/>
      </c>
      <c r="H24" s="11" t="inlineStr">
        <is>
          <t>product/P481989</t>
        </is>
      </c>
      <c r="I24" s="11" t="inlineStr">
        <is>
          <t>product/P481989#overview</t>
        </is>
      </c>
      <c r="J24" s="11" t="inlineStr">
        <is>
          <t>brand/claims-policy#cp-01</t>
        </is>
      </c>
      <c r="K24" s="11" t="inlineStr">
        <is>
          <t>sop/influencer-brief#product-specific-notes-from-customer-research</t>
        </is>
      </c>
    </row>
    <row r="25">
      <c r="A25" s="5" t="inlineStr">
        <is>
          <t>V06</t>
        </is>
      </c>
      <c r="B25" s="5" t="inlineStr">
        <is>
          <t>Sản phẩm</t>
        </is>
      </c>
      <c r="C25" s="5" t="inlineStr">
        <is>
          <t>Tiếng Anh</t>
        </is>
      </c>
      <c r="D25" s="11" t="inlineStr">
        <is>
          <t>What does the Avocado cleanser contain?</t>
        </is>
      </c>
      <c r="E25" s="12" t="n">
        <v>1</v>
      </c>
      <c r="F25" s="12">
        <f>IF(E25=1,1,0)</f>
        <v/>
      </c>
      <c r="G25" s="12">
        <f>IF(AND(E25&lt;&gt;"",E25&lt;=5),1,0)</f>
        <v/>
      </c>
      <c r="H25" s="11" t="inlineStr">
        <is>
          <t>product/P503634</t>
        </is>
      </c>
      <c r="I25" s="11" t="inlineStr">
        <is>
          <t>product/P503634#overview</t>
        </is>
      </c>
      <c r="J25" s="11" t="inlineStr">
        <is>
          <t>catalog/overview#avocado-line</t>
        </is>
      </c>
      <c r="K25" s="11" t="inlineStr">
        <is>
          <t>compliance/fda-aha-labeling#glow-recipe-products-containing-ahas-from-ingredient-lists-i</t>
        </is>
      </c>
    </row>
    <row r="26">
      <c r="A26" s="5" t="inlineStr">
        <is>
          <t>V06</t>
        </is>
      </c>
      <c r="B26" s="5" t="inlineStr">
        <is>
          <t>Sản phẩm</t>
        </is>
      </c>
      <c r="C26" s="5" t="inlineStr">
        <is>
          <t>Tiếng Việt có dấu</t>
        </is>
      </c>
      <c r="D26" s="11" t="inlineStr">
        <is>
          <t>Sữa rửa mặt Avocado có thành phần gì?</t>
        </is>
      </c>
      <c r="E26" s="12" t="n">
        <v>2</v>
      </c>
      <c r="F26" s="12">
        <f>IF(E26=1,1,0)</f>
        <v/>
      </c>
      <c r="G26" s="12">
        <f>IF(AND(E26&lt;&gt;"",E26&lt;=5),1,0)</f>
        <v/>
      </c>
      <c r="H26" s="11" t="inlineStr">
        <is>
          <t>product/P503634</t>
        </is>
      </c>
      <c r="I26" s="11" t="inlineStr">
        <is>
          <t>catalog/overview#avocado-line</t>
        </is>
      </c>
      <c r="J26" s="11" t="inlineStr">
        <is>
          <t>product/P503634#overview</t>
        </is>
      </c>
      <c r="K26" s="11" t="inlineStr">
        <is>
          <t>catalog/overview#blueberry-line</t>
        </is>
      </c>
    </row>
    <row r="27">
      <c r="A27" s="5" t="inlineStr">
        <is>
          <t>V06</t>
        </is>
      </c>
      <c r="B27" s="5" t="inlineStr">
        <is>
          <t>Sản phẩm</t>
        </is>
      </c>
      <c r="C27" s="5" t="inlineStr">
        <is>
          <t>Không dấu</t>
        </is>
      </c>
      <c r="D27" s="11" t="inlineStr">
        <is>
          <t>Sua rua mat Avocado co thanh phan gi?</t>
        </is>
      </c>
      <c r="E27" s="12" t="n">
        <v>4</v>
      </c>
      <c r="F27" s="12">
        <f>IF(E27=1,1,0)</f>
        <v/>
      </c>
      <c r="G27" s="12">
        <f>IF(AND(E27&lt;&gt;"",E27&lt;=5),1,0)</f>
        <v/>
      </c>
      <c r="H27" s="11" t="inlineStr">
        <is>
          <t>product/P503634</t>
        </is>
      </c>
      <c r="I27" s="11" t="inlineStr">
        <is>
          <t>catalog/overview#avocado-line</t>
        </is>
      </c>
      <c r="J27" s="11" t="inlineStr">
        <is>
          <t>research/insights-line-avocado#evidence-by-theme-1</t>
        </is>
      </c>
      <c r="K27" s="11" t="inlineStr">
        <is>
          <t>catalog/overview#blueberry-line</t>
        </is>
      </c>
    </row>
    <row r="28">
      <c r="A28" s="5" t="inlineStr">
        <is>
          <t>V06</t>
        </is>
      </c>
      <c r="B28" s="5" t="inlineStr">
        <is>
          <t>Sản phẩm</t>
        </is>
      </c>
      <c r="C28" s="5" t="inlineStr">
        <is>
          <t>Kiểu chat</t>
        </is>
      </c>
      <c r="D28" s="11" t="inlineStr">
        <is>
          <t>srm bo thanh phan gi</t>
        </is>
      </c>
      <c r="E28" s="12" t="n">
        <v>5</v>
      </c>
      <c r="F28" s="12">
        <f>IF(E28=1,1,0)</f>
        <v/>
      </c>
      <c r="G28" s="12">
        <f>IF(AND(E28&lt;&gt;"",E28&lt;=5),1,0)</f>
        <v/>
      </c>
      <c r="H28" s="11" t="inlineStr">
        <is>
          <t>product/P503634</t>
        </is>
      </c>
      <c r="I28" s="11" t="inlineStr">
        <is>
          <t>brand/brand-overview#product-lines-from-the-catalog-in-this-knowledge-base</t>
        </is>
      </c>
      <c r="J28" s="11" t="inlineStr">
        <is>
          <t>sop/influencer-brief#product-specific-notes-from-customer-research</t>
        </is>
      </c>
      <c r="K28" s="11" t="inlineStr">
        <is>
          <t>product/P447791#ingredients</t>
        </is>
      </c>
    </row>
    <row r="29">
      <c r="A29" s="5" t="inlineStr">
        <is>
          <t>V07</t>
        </is>
      </c>
      <c r="B29" s="5" t="inlineStr">
        <is>
          <t>Sản phẩm</t>
        </is>
      </c>
      <c r="C29" s="5" t="inlineStr">
        <is>
          <t>Tiếng Anh</t>
        </is>
      </c>
      <c r="D29" s="11" t="inlineStr">
        <is>
          <t>Is the Watermelon AHA Night Treatment a peel?</t>
        </is>
      </c>
      <c r="E29" s="12" t="n">
        <v>1</v>
      </c>
      <c r="F29" s="12">
        <f>IF(E29=1,1,0)</f>
        <v/>
      </c>
      <c r="G29" s="12">
        <f>IF(AND(E29&lt;&gt;"",E29&lt;=5),1,0)</f>
        <v/>
      </c>
      <c r="H29" s="11" t="inlineStr">
        <is>
          <t>product/P501254
product/P501570</t>
        </is>
      </c>
      <c r="I29" s="11" t="inlineStr">
        <is>
          <t>product/P501254#overview</t>
        </is>
      </c>
      <c r="J29" s="11" t="inlineStr">
        <is>
          <t>product/P501570#overview</t>
        </is>
      </c>
      <c r="K29" s="11" t="inlineStr">
        <is>
          <t>catalog/overview#products-by-type</t>
        </is>
      </c>
    </row>
    <row r="30">
      <c r="A30" s="5" t="inlineStr">
        <is>
          <t>V07</t>
        </is>
      </c>
      <c r="B30" s="5" t="inlineStr">
        <is>
          <t>Sản phẩm</t>
        </is>
      </c>
      <c r="C30" s="5" t="inlineStr">
        <is>
          <t>Tiếng Việt có dấu</t>
        </is>
      </c>
      <c r="D30" s="11" t="inlineStr">
        <is>
          <t>Watermelon AHA Night Treatment có phải sản phẩm peel không?</t>
        </is>
      </c>
      <c r="E30" s="12" t="n">
        <v>1</v>
      </c>
      <c r="F30" s="12">
        <f>IF(E30=1,1,0)</f>
        <v/>
      </c>
      <c r="G30" s="12">
        <f>IF(AND(E30&lt;&gt;"",E30&lt;=5),1,0)</f>
        <v/>
      </c>
      <c r="H30" s="11" t="inlineStr">
        <is>
          <t>product/P501254
product/P501570</t>
        </is>
      </c>
      <c r="I30" s="11" t="inlineStr">
        <is>
          <t>product/P501254#overview</t>
        </is>
      </c>
      <c r="J30" s="11" t="inlineStr">
        <is>
          <t>product/P501254#ingredients</t>
        </is>
      </c>
      <c r="K30" s="11" t="inlineStr">
        <is>
          <t>catalog/overview#products-by-type</t>
        </is>
      </c>
    </row>
    <row r="31">
      <c r="A31" s="5" t="inlineStr">
        <is>
          <t>V07</t>
        </is>
      </c>
      <c r="B31" s="5" t="inlineStr">
        <is>
          <t>Sản phẩm</t>
        </is>
      </c>
      <c r="C31" s="5" t="inlineStr">
        <is>
          <t>Không dấu</t>
        </is>
      </c>
      <c r="D31" s="11" t="inlineStr">
        <is>
          <t>Watermelon AHA Night Treatment co phai san pham peel khong?</t>
        </is>
      </c>
      <c r="E31" s="12" t="n">
        <v>1</v>
      </c>
      <c r="F31" s="12">
        <f>IF(E31=1,1,0)</f>
        <v/>
      </c>
      <c r="G31" s="12">
        <f>IF(AND(E31&lt;&gt;"",E31&lt;=5),1,0)</f>
        <v/>
      </c>
      <c r="H31" s="11" t="inlineStr">
        <is>
          <t>product/P501254
product/P501570</t>
        </is>
      </c>
      <c r="I31" s="11" t="inlineStr">
        <is>
          <t>product/P501254#overview</t>
        </is>
      </c>
      <c r="J31" s="11" t="inlineStr">
        <is>
          <t>product/P501570#overview</t>
        </is>
      </c>
      <c r="K31" s="11" t="inlineStr">
        <is>
          <t>catalog/overview#products-by-type</t>
        </is>
      </c>
    </row>
    <row r="32">
      <c r="A32" s="5" t="inlineStr">
        <is>
          <t>V07</t>
        </is>
      </c>
      <c r="B32" s="5" t="inlineStr">
        <is>
          <t>Sản phẩm</t>
        </is>
      </c>
      <c r="C32" s="5" t="inlineStr">
        <is>
          <t>Kiểu chat</t>
        </is>
      </c>
      <c r="D32" s="11" t="inlineStr">
        <is>
          <t>night treatment dua hau co phai peel ko</t>
        </is>
      </c>
      <c r="E32" s="12" t="n">
        <v>1</v>
      </c>
      <c r="F32" s="12">
        <f>IF(E32=1,1,0)</f>
        <v/>
      </c>
      <c r="G32" s="12">
        <f>IF(AND(E32&lt;&gt;"",E32&lt;=5),1,0)</f>
        <v/>
      </c>
      <c r="H32" s="11" t="inlineStr">
        <is>
          <t>product/P501254
product/P501570</t>
        </is>
      </c>
      <c r="I32" s="11" t="inlineStr">
        <is>
          <t>product/P501254#overview</t>
        </is>
      </c>
      <c r="J32" s="11" t="inlineStr">
        <is>
          <t>research/insights-line-watermelon#products-in-this-line</t>
        </is>
      </c>
      <c r="K32" s="11" t="inlineStr">
        <is>
          <t>catalog/overview#products-by-type</t>
        </is>
      </c>
    </row>
    <row r="33">
      <c r="A33" s="5" t="inlineStr">
        <is>
          <t>V08</t>
        </is>
      </c>
      <c r="B33" s="5" t="inlineStr">
        <is>
          <t>Insight</t>
        </is>
      </c>
      <c r="C33" s="5" t="inlineStr">
        <is>
          <t>Tiếng Anh</t>
        </is>
      </c>
      <c r="D33" s="11" t="inlineStr">
        <is>
          <t>What do people like most about the Plum Plump serum?</t>
        </is>
      </c>
      <c r="E33" s="12" t="n">
        <v>3</v>
      </c>
      <c r="F33" s="12">
        <f>IF(E33=1,1,0)</f>
        <v/>
      </c>
      <c r="G33" s="12">
        <f>IF(AND(E33&lt;&gt;"",E33&lt;=5),1,0)</f>
        <v/>
      </c>
      <c r="H33" s="11" t="inlineStr">
        <is>
          <t>research/insights-P462699</t>
        </is>
      </c>
      <c r="I33" s="11" t="inlineStr">
        <is>
          <t>product/P462699#overview</t>
        </is>
      </c>
      <c r="J33" s="11" t="inlineStr">
        <is>
          <t>research/insights-P475543#evidence-by-theme-1</t>
        </is>
      </c>
      <c r="K33" s="11" t="inlineStr">
        <is>
          <t>research/insights-P462699#evidence-by-theme-2</t>
        </is>
      </c>
    </row>
    <row r="34">
      <c r="A34" s="5" t="inlineStr">
        <is>
          <t>V08</t>
        </is>
      </c>
      <c r="B34" s="5" t="inlineStr">
        <is>
          <t>Insight</t>
        </is>
      </c>
      <c r="C34" s="5" t="inlineStr">
        <is>
          <t>Tiếng Việt có dấu</t>
        </is>
      </c>
      <c r="D34" s="11" t="inlineStr">
        <is>
          <t>Khách thích điều gì nhất ở serum Plum Plump?</t>
        </is>
      </c>
      <c r="E34" s="12" t="n">
        <v>6</v>
      </c>
      <c r="F34" s="12">
        <f>IF(E34=1,1,0)</f>
        <v/>
      </c>
      <c r="G34" s="12">
        <f>IF(AND(E34&lt;&gt;"",E34&lt;=5),1,0)</f>
        <v/>
      </c>
      <c r="H34" s="11" t="inlineStr">
        <is>
          <t>research/insights-P462699</t>
        </is>
      </c>
      <c r="I34" s="11" t="inlineStr">
        <is>
          <t>research/insights-line-plum#evidence-by-theme-1</t>
        </is>
      </c>
      <c r="J34" s="11" t="inlineStr">
        <is>
          <t>catalog/overview#plum-line</t>
        </is>
      </c>
      <c r="K34" s="11" t="inlineStr">
        <is>
          <t>research/insights-line-plum#products-in-this-line</t>
        </is>
      </c>
    </row>
    <row r="35">
      <c r="A35" s="5" t="inlineStr">
        <is>
          <t>V08</t>
        </is>
      </c>
      <c r="B35" s="5" t="inlineStr">
        <is>
          <t>Insight</t>
        </is>
      </c>
      <c r="C35" s="5" t="inlineStr">
        <is>
          <t>Không dấu</t>
        </is>
      </c>
      <c r="D35" s="11" t="inlineStr">
        <is>
          <t>Khach thich dieu gi nhat o serum Plum Plump?</t>
        </is>
      </c>
      <c r="E35" s="12" t="n">
        <v>6</v>
      </c>
      <c r="F35" s="12">
        <f>IF(E35=1,1,0)</f>
        <v/>
      </c>
      <c r="G35" s="12">
        <f>IF(AND(E35&lt;&gt;"",E35&lt;=5),1,0)</f>
        <v/>
      </c>
      <c r="H35" s="11" t="inlineStr">
        <is>
          <t>research/insights-P462699</t>
        </is>
      </c>
      <c r="I35" s="11" t="inlineStr">
        <is>
          <t>product/P462699#overview</t>
        </is>
      </c>
      <c r="J35" s="11" t="inlineStr">
        <is>
          <t>catalog/overview#plum-line</t>
        </is>
      </c>
      <c r="K35" s="11" t="inlineStr">
        <is>
          <t>product/P462699#ingredients</t>
        </is>
      </c>
    </row>
    <row r="36">
      <c r="A36" s="5" t="inlineStr">
        <is>
          <t>V08</t>
        </is>
      </c>
      <c r="B36" s="5" t="inlineStr">
        <is>
          <t>Insight</t>
        </is>
      </c>
      <c r="C36" s="5" t="inlineStr">
        <is>
          <t>Kiểu chat</t>
        </is>
      </c>
      <c r="D36" s="11" t="inlineStr">
        <is>
          <t>serum man dc khen gi nhieu nhat</t>
        </is>
      </c>
      <c r="E36" s="12" t="n"/>
      <c r="F36" s="12">
        <f>IF(E36=1,1,0)</f>
        <v/>
      </c>
      <c r="G36" s="12">
        <f>IF(AND(E36&lt;&gt;"",E36&lt;=5),1,0)</f>
        <v/>
      </c>
      <c r="H36" s="11" t="inlineStr">
        <is>
          <t>research/insights-P462699</t>
        </is>
      </c>
      <c r="I36" s="11" t="inlineStr">
        <is>
          <t>research/insights-P475543#themes</t>
        </is>
      </c>
      <c r="J36" s="11" t="inlineStr">
        <is>
          <t>catalog/overview#strawberry-line</t>
        </is>
      </c>
      <c r="K36" s="11" t="inlineStr">
        <is>
          <t>product/P479327#overview</t>
        </is>
      </c>
    </row>
    <row r="37">
      <c r="A37" s="5" t="inlineStr">
        <is>
          <t>V09</t>
        </is>
      </c>
      <c r="B37" s="5" t="inlineStr">
        <is>
          <t>Insight</t>
        </is>
      </c>
      <c r="C37" s="5" t="inlineStr">
        <is>
          <t>Tiếng Anh</t>
        </is>
      </c>
      <c r="D37" s="11" t="inlineStr">
        <is>
          <t>Is the retinol eye cream irritating according to reviews?</t>
        </is>
      </c>
      <c r="E37" s="12" t="n">
        <v>1</v>
      </c>
      <c r="F37" s="12">
        <f>IF(E37=1,1,0)</f>
        <v/>
      </c>
      <c r="G37" s="12">
        <f>IF(AND(E37&lt;&gt;"",E37&lt;=5),1,0)</f>
        <v/>
      </c>
      <c r="H37" s="11" t="inlineStr">
        <is>
          <t>research/insights-P447791</t>
        </is>
      </c>
      <c r="I37" s="11" t="inlineStr">
        <is>
          <t>research/insights-P447791#evidence-by-theme-2</t>
        </is>
      </c>
      <c r="J37" s="11" t="inlineStr">
        <is>
          <t>research/insights-P447791#how-to-read-this</t>
        </is>
      </c>
      <c r="K37" s="11" t="inlineStr">
        <is>
          <t>brand/claims-policy#cp-08</t>
        </is>
      </c>
    </row>
    <row r="38">
      <c r="A38" s="5" t="inlineStr">
        <is>
          <t>V09</t>
        </is>
      </c>
      <c r="B38" s="5" t="inlineStr">
        <is>
          <t>Insight</t>
        </is>
      </c>
      <c r="C38" s="5" t="inlineStr">
        <is>
          <t>Tiếng Việt có dấu</t>
        </is>
      </c>
      <c r="D38" s="11" t="inlineStr">
        <is>
          <t>Theo review, kem mắt retinol có gây kích ứng không?</t>
        </is>
      </c>
      <c r="E38" s="12" t="n">
        <v>1</v>
      </c>
      <c r="F38" s="12">
        <f>IF(E38=1,1,0)</f>
        <v/>
      </c>
      <c r="G38" s="12">
        <f>IF(AND(E38&lt;&gt;"",E38&lt;=5),1,0)</f>
        <v/>
      </c>
      <c r="H38" s="11" t="inlineStr">
        <is>
          <t>research/insights-P447791</t>
        </is>
      </c>
      <c r="I38" s="11" t="inlineStr">
        <is>
          <t>research/insights-P447791#how-to-read-this</t>
        </is>
      </c>
      <c r="J38" s="11" t="inlineStr">
        <is>
          <t>research/insights-P501760#evidence-by-theme-2</t>
        </is>
      </c>
      <c r="K38" s="11" t="inlineStr">
        <is>
          <t>product/P447791#overview</t>
        </is>
      </c>
    </row>
    <row r="39">
      <c r="A39" s="5" t="inlineStr">
        <is>
          <t>V09</t>
        </is>
      </c>
      <c r="B39" s="5" t="inlineStr">
        <is>
          <t>Insight</t>
        </is>
      </c>
      <c r="C39" s="5" t="inlineStr">
        <is>
          <t>Không dấu</t>
        </is>
      </c>
      <c r="D39" s="11" t="inlineStr">
        <is>
          <t>Theo review, kem mat retinol co gay kich ung khong?</t>
        </is>
      </c>
      <c r="E39" s="12" t="n">
        <v>1</v>
      </c>
      <c r="F39" s="12">
        <f>IF(E39=1,1,0)</f>
        <v/>
      </c>
      <c r="G39" s="12">
        <f>IF(AND(E39&lt;&gt;"",E39&lt;=5),1,0)</f>
        <v/>
      </c>
      <c r="H39" s="11" t="inlineStr">
        <is>
          <t>research/insights-P447791</t>
        </is>
      </c>
      <c r="I39" s="11" t="inlineStr">
        <is>
          <t>research/insights-P447791#how-to-read-this</t>
        </is>
      </c>
      <c r="J39" s="11" t="inlineStr">
        <is>
          <t>research/insights-P501760#how-to-read-this</t>
        </is>
      </c>
      <c r="K39" s="11" t="inlineStr">
        <is>
          <t>research/insights-P501760#evidence-by-theme-2</t>
        </is>
      </c>
    </row>
    <row r="40">
      <c r="A40" s="5" t="inlineStr">
        <is>
          <t>V09</t>
        </is>
      </c>
      <c r="B40" s="5" t="inlineStr">
        <is>
          <t>Insight</t>
        </is>
      </c>
      <c r="C40" s="5" t="inlineStr">
        <is>
          <t>Kiểu chat</t>
        </is>
      </c>
      <c r="D40" s="11" t="inlineStr">
        <is>
          <t>kem mat retinol co bi kich ung ko</t>
        </is>
      </c>
      <c r="E40" s="12" t="n">
        <v>2</v>
      </c>
      <c r="F40" s="12">
        <f>IF(E40=1,1,0)</f>
        <v/>
      </c>
      <c r="G40" s="12">
        <f>IF(AND(E40&lt;&gt;"",E40&lt;=5),1,0)</f>
        <v/>
      </c>
      <c r="H40" s="11" t="inlineStr">
        <is>
          <t>research/insights-P447791</t>
        </is>
      </c>
      <c r="I40" s="11" t="inlineStr">
        <is>
          <t>brand/claims-policy#cp-08</t>
        </is>
      </c>
      <c r="J40" s="11" t="inlineStr">
        <is>
          <t>research/insights-P447791#how-to-read-this</t>
        </is>
      </c>
      <c r="K40" s="11" t="inlineStr">
        <is>
          <t>research/insights-P501760#evidence-by-theme-2</t>
        </is>
      </c>
    </row>
    <row r="41">
      <c r="A41" s="5" t="inlineStr">
        <is>
          <t>V10</t>
        </is>
      </c>
      <c r="B41" s="5" t="inlineStr">
        <is>
          <t>Insight</t>
        </is>
      </c>
      <c r="C41" s="5" t="inlineStr">
        <is>
          <t>Tiếng Anh</t>
        </is>
      </c>
      <c r="D41" s="11" t="inlineStr">
        <is>
          <t>How has the Blueberry cleanser rating changed over the years?</t>
        </is>
      </c>
      <c r="E41" s="12" t="n">
        <v>1</v>
      </c>
      <c r="F41" s="12">
        <f>IF(E41=1,1,0)</f>
        <v/>
      </c>
      <c r="G41" s="12">
        <f>IF(AND(E41&lt;&gt;"",E41&lt;=5),1,0)</f>
        <v/>
      </c>
      <c r="H41" s="11" t="inlineStr">
        <is>
          <t>research/insights-P436359#by-year</t>
        </is>
      </c>
      <c r="I41" s="11" t="inlineStr">
        <is>
          <t>research/insights-P436359#by-year</t>
        </is>
      </c>
      <c r="J41" s="11" t="inlineStr">
        <is>
          <t>creative/learnings-2023#recommended-next-tests-as-of-2023-04</t>
        </is>
      </c>
      <c r="K41" s="11" t="inlineStr">
        <is>
          <t>research/insights-P436359#overview</t>
        </is>
      </c>
    </row>
    <row r="42">
      <c r="A42" s="5" t="inlineStr">
        <is>
          <t>V10</t>
        </is>
      </c>
      <c r="B42" s="5" t="inlineStr">
        <is>
          <t>Insight</t>
        </is>
      </c>
      <c r="C42" s="5" t="inlineStr">
        <is>
          <t>Tiếng Việt có dấu</t>
        </is>
      </c>
      <c r="D42" s="11" t="inlineStr">
        <is>
          <t>Đánh giá sữa rửa mặt Blueberry thay đổi thế nào qua các năm?</t>
        </is>
      </c>
      <c r="E42" s="12" t="n"/>
      <c r="F42" s="12">
        <f>IF(E42=1,1,0)</f>
        <v/>
      </c>
      <c r="G42" s="12">
        <f>IF(AND(E42&lt;&gt;"",E42&lt;=5),1,0)</f>
        <v/>
      </c>
      <c r="H42" s="11" t="inlineStr">
        <is>
          <t>research/insights-P436359#by-year</t>
        </is>
      </c>
      <c r="I42" s="11" t="inlineStr">
        <is>
          <t>product/P436359#overview</t>
        </is>
      </c>
      <c r="J42" s="11" t="inlineStr">
        <is>
          <t>research/insights-line-blueberry#products-in-this-line</t>
        </is>
      </c>
      <c r="K42" s="11" t="inlineStr">
        <is>
          <t>catalog/overview#blueberry-line</t>
        </is>
      </c>
    </row>
    <row r="43">
      <c r="A43" s="5" t="inlineStr">
        <is>
          <t>V10</t>
        </is>
      </c>
      <c r="B43" s="5" t="inlineStr">
        <is>
          <t>Insight</t>
        </is>
      </c>
      <c r="C43" s="5" t="inlineStr">
        <is>
          <t>Không dấu</t>
        </is>
      </c>
      <c r="D43" s="11" t="inlineStr">
        <is>
          <t>Danh gia sua rua mat Blueberry thay doi the nao qua cac nam?</t>
        </is>
      </c>
      <c r="E43" s="12" t="n"/>
      <c r="F43" s="12">
        <f>IF(E43=1,1,0)</f>
        <v/>
      </c>
      <c r="G43" s="12">
        <f>IF(AND(E43&lt;&gt;"",E43&lt;=5),1,0)</f>
        <v/>
      </c>
      <c r="H43" s="11" t="inlineStr">
        <is>
          <t>research/insights-P436359#by-year</t>
        </is>
      </c>
      <c r="I43" s="11" t="inlineStr">
        <is>
          <t>research/insights-line-blueberry#products-in-this-line</t>
        </is>
      </c>
      <c r="J43" s="11" t="inlineStr">
        <is>
          <t>research/insights-line-blueberry#themes</t>
        </is>
      </c>
      <c r="K43" s="11" t="inlineStr">
        <is>
          <t>brand/claims-policy#cp-03</t>
        </is>
      </c>
    </row>
    <row r="44">
      <c r="A44" s="5" t="inlineStr">
        <is>
          <t>V10</t>
        </is>
      </c>
      <c r="B44" s="5" t="inlineStr">
        <is>
          <t>Insight</t>
        </is>
      </c>
      <c r="C44" s="5" t="inlineStr">
        <is>
          <t>Kiểu chat</t>
        </is>
      </c>
      <c r="D44" s="11" t="inlineStr">
        <is>
          <t>srm viet quat rating qua tung nam sao roi</t>
        </is>
      </c>
      <c r="E44" s="12" t="n">
        <v>4</v>
      </c>
      <c r="F44" s="12">
        <f>IF(E44=1,1,0)</f>
        <v/>
      </c>
      <c r="G44" s="12">
        <f>IF(AND(E44&lt;&gt;"",E44&lt;=5),1,0)</f>
        <v/>
      </c>
      <c r="H44" s="11" t="inlineStr">
        <is>
          <t>research/insights-P436359#by-year</t>
        </is>
      </c>
      <c r="I44" s="11" t="inlineStr">
        <is>
          <t>creative/learnings-2023#recommended-next-tests-as-of-2023-04</t>
        </is>
      </c>
      <c r="J44" s="11" t="inlineStr">
        <is>
          <t>research/insights-overview#by-year</t>
        </is>
      </c>
      <c r="K44" s="11" t="inlineStr">
        <is>
          <t>brand/claims-policy#cp-03</t>
        </is>
      </c>
    </row>
    <row r="45">
      <c r="A45" s="5" t="inlineStr">
        <is>
          <t>V11</t>
        </is>
      </c>
      <c r="B45" s="5" t="inlineStr">
        <is>
          <t>Insight</t>
        </is>
      </c>
      <c r="C45" s="5" t="inlineStr">
        <is>
          <t>Tiếng Anh</t>
        </is>
      </c>
      <c r="D45" s="11" t="inlineStr">
        <is>
          <t>Which skin type rates the Dew Drops the highest?</t>
        </is>
      </c>
      <c r="E45" s="12" t="n">
        <v>1</v>
      </c>
      <c r="F45" s="12">
        <f>IF(E45=1,1,0)</f>
        <v/>
      </c>
      <c r="G45" s="12">
        <f>IF(AND(E45&lt;&gt;"",E45&lt;=5),1,0)</f>
        <v/>
      </c>
      <c r="H45" s="11" t="inlineStr">
        <is>
          <t>research/insights-P466123#by-skin-type</t>
        </is>
      </c>
      <c r="I45" s="11" t="inlineStr">
        <is>
          <t>research/insights-P466123#by-skin-type</t>
        </is>
      </c>
      <c r="J45" s="11" t="inlineStr">
        <is>
          <t>research/insights-P504125#by-skin-type</t>
        </is>
      </c>
      <c r="K45" s="11" t="inlineStr">
        <is>
          <t>research/insights-P466123#themes</t>
        </is>
      </c>
    </row>
    <row r="46">
      <c r="A46" s="5" t="inlineStr">
        <is>
          <t>V11</t>
        </is>
      </c>
      <c r="B46" s="5" t="inlineStr">
        <is>
          <t>Insight</t>
        </is>
      </c>
      <c r="C46" s="5" t="inlineStr">
        <is>
          <t>Tiếng Việt có dấu</t>
        </is>
      </c>
      <c r="D46" s="11" t="inlineStr">
        <is>
          <t>Loại da nào chấm Dew Drops cao nhất?</t>
        </is>
      </c>
      <c r="E46" s="12" t="n">
        <v>4</v>
      </c>
      <c r="F46" s="12">
        <f>IF(E46=1,1,0)</f>
        <v/>
      </c>
      <c r="G46" s="12">
        <f>IF(AND(E46&lt;&gt;"",E46&lt;=5),1,0)</f>
        <v/>
      </c>
      <c r="H46" s="11" t="inlineStr">
        <is>
          <t>research/insights-P466123#by-skin-type</t>
        </is>
      </c>
      <c r="I46" s="11" t="inlineStr">
        <is>
          <t>research/insights-P466123#themes</t>
        </is>
      </c>
      <c r="J46" s="11" t="inlineStr">
        <is>
          <t>brand/brand-overview#positioning</t>
        </is>
      </c>
      <c r="K46" s="11" t="inlineStr">
        <is>
          <t>catalog/overview#products-by-price</t>
        </is>
      </c>
    </row>
    <row r="47">
      <c r="A47" s="5" t="inlineStr">
        <is>
          <t>V11</t>
        </is>
      </c>
      <c r="B47" s="5" t="inlineStr">
        <is>
          <t>Insight</t>
        </is>
      </c>
      <c r="C47" s="5" t="inlineStr">
        <is>
          <t>Không dấu</t>
        </is>
      </c>
      <c r="D47" s="11" t="inlineStr">
        <is>
          <t>Loai da nao cham Dew Drops cao nhat?</t>
        </is>
      </c>
      <c r="E47" s="12" t="n"/>
      <c r="F47" s="12">
        <f>IF(E47=1,1,0)</f>
        <v/>
      </c>
      <c r="G47" s="12">
        <f>IF(AND(E47&lt;&gt;"",E47&lt;=5),1,0)</f>
        <v/>
      </c>
      <c r="H47" s="11" t="inlineStr">
        <is>
          <t>research/insights-P466123#by-skin-type</t>
        </is>
      </c>
      <c r="I47" s="11" t="inlineStr">
        <is>
          <t>creative/learnings-2023#ct-01</t>
        </is>
      </c>
      <c r="J47" s="11" t="inlineStr">
        <is>
          <t>brand/voice-guide#examples</t>
        </is>
      </c>
      <c r="K47" s="11" t="inlineStr">
        <is>
          <t>brand/brand-overview#positioning</t>
        </is>
      </c>
    </row>
    <row r="48">
      <c r="A48" s="5" t="inlineStr">
        <is>
          <t>V11</t>
        </is>
      </c>
      <c r="B48" s="5" t="inlineStr">
        <is>
          <t>Insight</t>
        </is>
      </c>
      <c r="C48" s="5" t="inlineStr">
        <is>
          <t>Kiểu chat</t>
        </is>
      </c>
      <c r="D48" s="11" t="inlineStr">
        <is>
          <t>da nao cham dew drops cao nhat</t>
        </is>
      </c>
      <c r="E48" s="12" t="n"/>
      <c r="F48" s="12">
        <f>IF(E48=1,1,0)</f>
        <v/>
      </c>
      <c r="G48" s="12">
        <f>IF(AND(E48&lt;&gt;"",E48&lt;=5),1,0)</f>
        <v/>
      </c>
      <c r="H48" s="11" t="inlineStr">
        <is>
          <t>research/insights-P466123#by-skin-type</t>
        </is>
      </c>
      <c r="I48" s="11" t="inlineStr">
        <is>
          <t>creative/learnings-2023#ct-02</t>
        </is>
      </c>
      <c r="J48" s="11" t="inlineStr">
        <is>
          <t>catalog/overview#products-by-price</t>
        </is>
      </c>
      <c r="K48" s="11" t="inlineStr">
        <is>
          <t>brand/brand-overview#positioning</t>
        </is>
      </c>
    </row>
    <row r="49">
      <c r="A49" s="5" t="inlineStr">
        <is>
          <t>V12</t>
        </is>
      </c>
      <c r="B49" s="5" t="inlineStr">
        <is>
          <t>Insight</t>
        </is>
      </c>
      <c r="C49" s="5" t="inlineStr">
        <is>
          <t>Tiếng Anh</t>
        </is>
      </c>
      <c r="D49" s="11" t="inlineStr">
        <is>
          <t>Do customers find the Watermelon Pink Juice moisturizer sticky?</t>
        </is>
      </c>
      <c r="E49" s="12" t="n">
        <v>1</v>
      </c>
      <c r="F49" s="12">
        <f>IF(E49=1,1,0)</f>
        <v/>
      </c>
      <c r="G49" s="12">
        <f>IF(AND(E49&lt;&gt;"",E49&lt;=5),1,0)</f>
        <v/>
      </c>
      <c r="H49" s="11" t="inlineStr">
        <is>
          <t>research/insights-P428819</t>
        </is>
      </c>
      <c r="I49" s="11" t="inlineStr">
        <is>
          <t>research/insights-P428819#evidence-by-theme</t>
        </is>
      </c>
      <c r="J49" s="11" t="inlineStr">
        <is>
          <t>product/P428819#overview</t>
        </is>
      </c>
      <c r="K49" s="11" t="inlineStr">
        <is>
          <t>research/insights-P428819#overview</t>
        </is>
      </c>
    </row>
    <row r="50">
      <c r="A50" s="5" t="inlineStr">
        <is>
          <t>V12</t>
        </is>
      </c>
      <c r="B50" s="5" t="inlineStr">
        <is>
          <t>Insight</t>
        </is>
      </c>
      <c r="C50" s="5" t="inlineStr">
        <is>
          <t>Tiếng Việt có dấu</t>
        </is>
      </c>
      <c r="D50" s="11" t="inlineStr">
        <is>
          <t>Khách có thấy kem dưỡng Watermelon Pink Juice bị dính không?</t>
        </is>
      </c>
      <c r="E50" s="12" t="n">
        <v>2</v>
      </c>
      <c r="F50" s="12">
        <f>IF(E50=1,1,0)</f>
        <v/>
      </c>
      <c r="G50" s="12">
        <f>IF(AND(E50&lt;&gt;"",E50&lt;=5),1,0)</f>
        <v/>
      </c>
      <c r="H50" s="11" t="inlineStr">
        <is>
          <t>research/insights-P428819</t>
        </is>
      </c>
      <c r="I50" s="11" t="inlineStr">
        <is>
          <t>catalog/overview#products-by-price</t>
        </is>
      </c>
      <c r="J50" s="11" t="inlineStr">
        <is>
          <t>research/insights-P428819#evidence-by-theme</t>
        </is>
      </c>
      <c r="K50" s="11" t="inlineStr">
        <is>
          <t>research/insights-P428819#overview</t>
        </is>
      </c>
    </row>
    <row r="51">
      <c r="A51" s="5" t="inlineStr">
        <is>
          <t>V12</t>
        </is>
      </c>
      <c r="B51" s="5" t="inlineStr">
        <is>
          <t>Insight</t>
        </is>
      </c>
      <c r="C51" s="5" t="inlineStr">
        <is>
          <t>Không dấu</t>
        </is>
      </c>
      <c r="D51" s="11" t="inlineStr">
        <is>
          <t>Khach co thay kem duong Watermelon Pink Juice bi dinh khong?</t>
        </is>
      </c>
      <c r="E51" s="12" t="n">
        <v>5</v>
      </c>
      <c r="F51" s="12">
        <f>IF(E51=1,1,0)</f>
        <v/>
      </c>
      <c r="G51" s="12">
        <f>IF(AND(E51&lt;&gt;"",E51&lt;=5),1,0)</f>
        <v/>
      </c>
      <c r="H51" s="11" t="inlineStr">
        <is>
          <t>research/insights-P428819</t>
        </is>
      </c>
      <c r="I51" s="11" t="inlineStr">
        <is>
          <t>catalog/overview#products-by-price</t>
        </is>
      </c>
      <c r="J51" s="11" t="inlineStr">
        <is>
          <t>product/P428819#overview</t>
        </is>
      </c>
      <c r="K51" s="11" t="inlineStr">
        <is>
          <t>research/insights-line-guava#evidence-by-theme-2</t>
        </is>
      </c>
    </row>
    <row r="52">
      <c r="A52" s="5" t="inlineStr">
        <is>
          <t>V12</t>
        </is>
      </c>
      <c r="B52" s="5" t="inlineStr">
        <is>
          <t>Insight</t>
        </is>
      </c>
      <c r="C52" s="5" t="inlineStr">
        <is>
          <t>Kiểu chat</t>
        </is>
      </c>
      <c r="D52" s="11" t="inlineStr">
        <is>
          <t>kem duong dua hau pink juice co bi dinh ko</t>
        </is>
      </c>
      <c r="E52" s="12" t="n">
        <v>1</v>
      </c>
      <c r="F52" s="12">
        <f>IF(E52=1,1,0)</f>
        <v/>
      </c>
      <c r="G52" s="12">
        <f>IF(AND(E52&lt;&gt;"",E52&lt;=5),1,0)</f>
        <v/>
      </c>
      <c r="H52" s="11" t="inlineStr">
        <is>
          <t>research/insights-P428819</t>
        </is>
      </c>
      <c r="I52" s="11" t="inlineStr">
        <is>
          <t>research/insights-P428819#evidence-by-theme</t>
        </is>
      </c>
      <c r="J52" s="11" t="inlineStr">
        <is>
          <t>sop/review-response#usage-tips-by-complaint-theme</t>
        </is>
      </c>
      <c r="K52" s="11" t="inlineStr">
        <is>
          <t>catalog/overview#products-by-price</t>
        </is>
      </c>
    </row>
    <row r="53">
      <c r="A53" s="5" t="inlineStr">
        <is>
          <t>V13</t>
        </is>
      </c>
      <c r="B53" s="5" t="inlineStr">
        <is>
          <t>Insight</t>
        </is>
      </c>
      <c r="C53" s="5" t="inlineStr">
        <is>
          <t>Tiếng Anh</t>
        </is>
      </c>
      <c r="D53" s="11" t="inlineStr">
        <is>
          <t>Which product line has the most reviews?</t>
        </is>
      </c>
      <c r="E53" s="12" t="n">
        <v>5</v>
      </c>
      <c r="F53" s="12">
        <f>IF(E53=1,1,0)</f>
        <v/>
      </c>
      <c r="G53" s="12">
        <f>IF(AND(E53&lt;&gt;"",E53&lt;=5),1,0)</f>
        <v/>
      </c>
      <c r="H53" s="11" t="inlineStr">
        <is>
          <t>research/insights-overview#by-product-line</t>
        </is>
      </c>
      <c r="I53" s="11" t="inlineStr">
        <is>
          <t>catalog/overview#catalog-summary</t>
        </is>
      </c>
      <c r="J53" s="11" t="inlineStr">
        <is>
          <t>research/insights-line-strawberry#themes</t>
        </is>
      </c>
      <c r="K53" s="11" t="inlineStr">
        <is>
          <t>catalog/overview#avocado-line</t>
        </is>
      </c>
    </row>
    <row r="54">
      <c r="A54" s="5" t="inlineStr">
        <is>
          <t>V13</t>
        </is>
      </c>
      <c r="B54" s="5" t="inlineStr">
        <is>
          <t>Insight</t>
        </is>
      </c>
      <c r="C54" s="5" t="inlineStr">
        <is>
          <t>Tiếng Việt có dấu</t>
        </is>
      </c>
      <c r="D54" s="11" t="inlineStr">
        <is>
          <t>Dòng sản phẩm nào có nhiều review nhất?</t>
        </is>
      </c>
      <c r="E54" s="12" t="n"/>
      <c r="F54" s="12">
        <f>IF(E54=1,1,0)</f>
        <v/>
      </c>
      <c r="G54" s="12">
        <f>IF(AND(E54&lt;&gt;"",E54&lt;=5),1,0)</f>
        <v/>
      </c>
      <c r="H54" s="11" t="inlineStr">
        <is>
          <t>research/insights-overview#by-product-line</t>
        </is>
      </c>
      <c r="I54" s="11" t="inlineStr">
        <is>
          <t>research/insights-line-strawberry#themes</t>
        </is>
      </c>
      <c r="J54" s="11" t="inlineStr">
        <is>
          <t>compliance/ftc-endorsement-guides#reviews</t>
        </is>
      </c>
      <c r="K54" s="11" t="inlineStr">
        <is>
          <t>research/insights-line-watermelon#themes</t>
        </is>
      </c>
    </row>
    <row r="55">
      <c r="A55" s="5" t="inlineStr">
        <is>
          <t>V13</t>
        </is>
      </c>
      <c r="B55" s="5" t="inlineStr">
        <is>
          <t>Insight</t>
        </is>
      </c>
      <c r="C55" s="5" t="inlineStr">
        <is>
          <t>Không dấu</t>
        </is>
      </c>
      <c r="D55" s="11" t="inlineStr">
        <is>
          <t>Dong san pham nao co nhieu review nhat?</t>
        </is>
      </c>
      <c r="E55" s="12" t="n"/>
      <c r="F55" s="12">
        <f>IF(E55=1,1,0)</f>
        <v/>
      </c>
      <c r="G55" s="12">
        <f>IF(AND(E55&lt;&gt;"",E55&lt;=5),1,0)</f>
        <v/>
      </c>
      <c r="H55" s="11" t="inlineStr">
        <is>
          <t>research/insights-overview#by-product-line</t>
        </is>
      </c>
      <c r="I55" s="11" t="inlineStr">
        <is>
          <t>sop/influencer-brief#product-specific-notes-from-customer-research</t>
        </is>
      </c>
      <c r="J55" s="11" t="inlineStr">
        <is>
          <t>compliance/ftc-endorsement-guides#reviews</t>
        </is>
      </c>
      <c r="K55" s="11" t="inlineStr">
        <is>
          <t>sop/review-response#principles</t>
        </is>
      </c>
    </row>
    <row r="56">
      <c r="A56" s="5" t="inlineStr">
        <is>
          <t>V13</t>
        </is>
      </c>
      <c r="B56" s="5" t="inlineStr">
        <is>
          <t>Insight</t>
        </is>
      </c>
      <c r="C56" s="5" t="inlineStr">
        <is>
          <t>Kiểu chat</t>
        </is>
      </c>
      <c r="D56" s="11" t="inlineStr">
        <is>
          <t>dong nao nhieu review nhat</t>
        </is>
      </c>
      <c r="E56" s="12" t="n"/>
      <c r="F56" s="12">
        <f>IF(E56=1,1,0)</f>
        <v/>
      </c>
      <c r="G56" s="12">
        <f>IF(AND(E56&lt;&gt;"",E56&lt;=5),1,0)</f>
        <v/>
      </c>
      <c r="H56" s="11" t="inlineStr">
        <is>
          <t>research/insights-overview#by-product-line</t>
        </is>
      </c>
      <c r="I56" s="11" t="inlineStr">
        <is>
          <t>compliance/ftc-endorsement-guides#reviews</t>
        </is>
      </c>
      <c r="J56" s="11" t="inlineStr">
        <is>
          <t>sop/influencer-brief#product-specific-notes-from-customer-research</t>
        </is>
      </c>
      <c r="K56" s="11" t="inlineStr">
        <is>
          <t>compliance/ftc-health-claims#practical-implications-knowledge-base-s-reading</t>
        </is>
      </c>
    </row>
    <row r="57">
      <c r="A57" s="5" t="inlineStr">
        <is>
          <t>V14</t>
        </is>
      </c>
      <c r="B57" s="5" t="inlineStr">
        <is>
          <t>Insight</t>
        </is>
      </c>
      <c r="C57" s="5" t="inlineStr">
        <is>
          <t>Tiếng Anh</t>
        </is>
      </c>
      <c r="D57" s="11" t="inlineStr">
        <is>
          <t>What share of reviews came from people who got the product for free?</t>
        </is>
      </c>
      <c r="E57" s="12" t="n"/>
      <c r="F57" s="12">
        <f>IF(E57=1,1,0)</f>
        <v/>
      </c>
      <c r="G57" s="12">
        <f>IF(AND(E57&lt;&gt;"",E57&lt;=5),1,0)</f>
        <v/>
      </c>
      <c r="H57" s="11" t="inlineStr">
        <is>
          <t>research/insights-overview#overview</t>
        </is>
      </c>
      <c r="I57" s="11" t="inlineStr">
        <is>
          <t>research/insights-P428819#how-to-read-this</t>
        </is>
      </c>
      <c r="J57" s="11" t="inlineStr">
        <is>
          <t>brand/voice-guide#talking-about-scent</t>
        </is>
      </c>
      <c r="K57" s="11" t="inlineStr">
        <is>
          <t>research/insights-P504125#how-to-read-this</t>
        </is>
      </c>
    </row>
    <row r="58">
      <c r="A58" s="5" t="inlineStr">
        <is>
          <t>V14</t>
        </is>
      </c>
      <c r="B58" s="5" t="inlineStr">
        <is>
          <t>Insight</t>
        </is>
      </c>
      <c r="C58" s="5" t="inlineStr">
        <is>
          <t>Tiếng Việt có dấu</t>
        </is>
      </c>
      <c r="D58" s="11" t="inlineStr">
        <is>
          <t>Bao nhiêu phần trăm review là từ người được tặng sản phẩm?</t>
        </is>
      </c>
      <c r="E58" s="12" t="n"/>
      <c r="F58" s="12">
        <f>IF(E58=1,1,0)</f>
        <v/>
      </c>
      <c r="G58" s="12">
        <f>IF(AND(E58&lt;&gt;"",E58&lt;=5),1,0)</f>
        <v/>
      </c>
      <c r="H58" s="11" t="inlineStr">
        <is>
          <t>research/insights-overview#overview</t>
        </is>
      </c>
      <c r="I58" s="11" t="inlineStr">
        <is>
          <t>compliance/ftc-endorsement-guides#reviews</t>
        </is>
      </c>
      <c r="J58" s="11" t="inlineStr">
        <is>
          <t>sop/influencer-brief#when-to-use</t>
        </is>
      </c>
      <c r="K58" s="11" t="inlineStr">
        <is>
          <t>research/insights-line-strawberry#overview</t>
        </is>
      </c>
    </row>
    <row r="59">
      <c r="A59" s="5" t="inlineStr">
        <is>
          <t>V14</t>
        </is>
      </c>
      <c r="B59" s="5" t="inlineStr">
        <is>
          <t>Insight</t>
        </is>
      </c>
      <c r="C59" s="5" t="inlineStr">
        <is>
          <t>Không dấu</t>
        </is>
      </c>
      <c r="D59" s="11" t="inlineStr">
        <is>
          <t>Bao nhieu phan tram review la tu nguoi duoc tang san pham?</t>
        </is>
      </c>
      <c r="E59" s="12" t="n"/>
      <c r="F59" s="12">
        <f>IF(E59=1,1,0)</f>
        <v/>
      </c>
      <c r="G59" s="12">
        <f>IF(AND(E59&lt;&gt;"",E59&lt;=5),1,0)</f>
        <v/>
      </c>
      <c r="H59" s="11" t="inlineStr">
        <is>
          <t>research/insights-overview#overview</t>
        </is>
      </c>
      <c r="I59" s="11" t="inlineStr">
        <is>
          <t>compliance/ftc-endorsement-guides#reviews</t>
        </is>
      </c>
      <c r="J59" s="11" t="inlineStr">
        <is>
          <t>sop/influencer-brief#product-specific-notes-from-customer-research</t>
        </is>
      </c>
      <c r="K59" s="11" t="inlineStr">
        <is>
          <t>sop/influencer-brief#when-to-use</t>
        </is>
      </c>
    </row>
    <row r="60">
      <c r="A60" s="5" t="inlineStr">
        <is>
          <t>V14</t>
        </is>
      </c>
      <c r="B60" s="5" t="inlineStr">
        <is>
          <t>Insight</t>
        </is>
      </c>
      <c r="C60" s="5" t="inlineStr">
        <is>
          <t>Kiểu chat</t>
        </is>
      </c>
      <c r="D60" s="11" t="inlineStr">
        <is>
          <t>bao nhieu % review la do dc tang sp</t>
        </is>
      </c>
      <c r="E60" s="12" t="n"/>
      <c r="F60" s="12">
        <f>IF(E60=1,1,0)</f>
        <v/>
      </c>
      <c r="G60" s="12">
        <f>IF(AND(E60&lt;&gt;"",E60&lt;=5),1,0)</f>
        <v/>
      </c>
      <c r="H60" s="11" t="inlineStr">
        <is>
          <t>research/insights-overview#overview</t>
        </is>
      </c>
      <c r="I60" s="11" t="inlineStr">
        <is>
          <t>sop/ad-claim-review#self-check-checklist</t>
        </is>
      </c>
      <c r="J60" s="11" t="inlineStr">
        <is>
          <t>sop/influencer-brief#when-to-use</t>
        </is>
      </c>
      <c r="K60" s="11" t="inlineStr">
        <is>
          <t>compliance/ftc-endorsement-guides#reviews</t>
        </is>
      </c>
    </row>
    <row r="61">
      <c r="A61" s="5" t="inlineStr">
        <is>
          <t>V15</t>
        </is>
      </c>
      <c r="B61" s="5" t="inlineStr">
        <is>
          <t>Insight</t>
        </is>
      </c>
      <c r="C61" s="5" t="inlineStr">
        <is>
          <t>Tiếng Anh</t>
        </is>
      </c>
      <c r="D61" s="11" t="inlineStr">
        <is>
          <t>How do customers rate the Papaya cleansing balm?</t>
        </is>
      </c>
      <c r="E61" s="12" t="n">
        <v>2</v>
      </c>
      <c r="F61" s="12">
        <f>IF(E61=1,1,0)</f>
        <v/>
      </c>
      <c r="G61" s="12">
        <f>IF(AND(E61&lt;&gt;"",E61&lt;=5),1,0)</f>
        <v/>
      </c>
      <c r="H61" s="11" t="inlineStr">
        <is>
          <t>research/insights-P460516</t>
        </is>
      </c>
      <c r="I61" s="11" t="inlineStr">
        <is>
          <t>research/insights-line-papaya#products-in-this-line</t>
        </is>
      </c>
      <c r="J61" s="11" t="inlineStr">
        <is>
          <t>research/insights-P460516#overview</t>
        </is>
      </c>
      <c r="K61" s="11" t="inlineStr">
        <is>
          <t>research/insights-P460516#by-year</t>
        </is>
      </c>
    </row>
    <row r="62">
      <c r="A62" s="5" t="inlineStr">
        <is>
          <t>V15</t>
        </is>
      </c>
      <c r="B62" s="5" t="inlineStr">
        <is>
          <t>Insight</t>
        </is>
      </c>
      <c r="C62" s="5" t="inlineStr">
        <is>
          <t>Tiếng Việt có dấu</t>
        </is>
      </c>
      <c r="D62" s="11" t="inlineStr">
        <is>
          <t>Sáp tẩy trang Papaya được đánh giá thế nào?</t>
        </is>
      </c>
      <c r="E62" s="12" t="n">
        <v>1</v>
      </c>
      <c r="F62" s="12">
        <f>IF(E62=1,1,0)</f>
        <v/>
      </c>
      <c r="G62" s="12">
        <f>IF(AND(E62&lt;&gt;"",E62&lt;=5),1,0)</f>
        <v/>
      </c>
      <c r="H62" s="11" t="inlineStr">
        <is>
          <t>research/insights-P460516</t>
        </is>
      </c>
      <c r="I62" s="11" t="inlineStr">
        <is>
          <t>research/insights-P460516#by-year</t>
        </is>
      </c>
      <c r="J62" s="11" t="inlineStr">
        <is>
          <t>research/insights-line-papaya#products-in-this-line</t>
        </is>
      </c>
      <c r="K62" s="11" t="inlineStr">
        <is>
          <t>product/P460516#ingredients</t>
        </is>
      </c>
    </row>
    <row r="63">
      <c r="A63" s="5" t="inlineStr">
        <is>
          <t>V15</t>
        </is>
      </c>
      <c r="B63" s="5" t="inlineStr">
        <is>
          <t>Insight</t>
        </is>
      </c>
      <c r="C63" s="5" t="inlineStr">
        <is>
          <t>Không dấu</t>
        </is>
      </c>
      <c r="D63" s="11" t="inlineStr">
        <is>
          <t>Sap tay trang Papaya duoc danh gia the nao?</t>
        </is>
      </c>
      <c r="E63" s="12" t="n">
        <v>2</v>
      </c>
      <c r="F63" s="12">
        <f>IF(E63=1,1,0)</f>
        <v/>
      </c>
      <c r="G63" s="12">
        <f>IF(AND(E63&lt;&gt;"",E63&lt;=5),1,0)</f>
        <v/>
      </c>
      <c r="H63" s="11" t="inlineStr">
        <is>
          <t>research/insights-P460516</t>
        </is>
      </c>
      <c r="I63" s="11" t="inlineStr">
        <is>
          <t>catalog/overview#papaya-line</t>
        </is>
      </c>
      <c r="J63" s="11" t="inlineStr">
        <is>
          <t>research/insights-P460516#by-year</t>
        </is>
      </c>
      <c r="K63" s="11" t="inlineStr">
        <is>
          <t>product/P460516#ingredients</t>
        </is>
      </c>
    </row>
    <row r="64">
      <c r="A64" s="5" t="inlineStr">
        <is>
          <t>V15</t>
        </is>
      </c>
      <c r="B64" s="5" t="inlineStr">
        <is>
          <t>Insight</t>
        </is>
      </c>
      <c r="C64" s="5" t="inlineStr">
        <is>
          <t>Kiểu chat</t>
        </is>
      </c>
      <c r="D64" s="11" t="inlineStr">
        <is>
          <t>sap tay trang du du review sao</t>
        </is>
      </c>
      <c r="E64" s="12" t="n">
        <v>9</v>
      </c>
      <c r="F64" s="12">
        <f>IF(E64=1,1,0)</f>
        <v/>
      </c>
      <c r="G64" s="12">
        <f>IF(AND(E64&lt;&gt;"",E64&lt;=5),1,0)</f>
        <v/>
      </c>
      <c r="H64" s="11" t="inlineStr">
        <is>
          <t>research/insights-P460516</t>
        </is>
      </c>
      <c r="I64" s="11" t="inlineStr">
        <is>
          <t>sop/influencer-brief#product-specific-notes-from-customer-research</t>
        </is>
      </c>
      <c r="J64" s="11" t="inlineStr">
        <is>
          <t>catalog/overview#papaya-line</t>
        </is>
      </c>
      <c r="K64" s="11" t="inlineStr">
        <is>
          <t>compliance/ftc-endorsement-guides#reviews</t>
        </is>
      </c>
    </row>
    <row r="65">
      <c r="A65" s="5" t="inlineStr">
        <is>
          <t>V16</t>
        </is>
      </c>
      <c r="B65" s="5" t="inlineStr">
        <is>
          <t>Insight</t>
        </is>
      </c>
      <c r="C65" s="5" t="inlineStr">
        <is>
          <t>Tiếng Anh</t>
        </is>
      </c>
      <c r="D65" s="11" t="inlineStr">
        <is>
          <t>What do customers say about the Avocado line overall?</t>
        </is>
      </c>
      <c r="E65" s="12" t="n">
        <v>1</v>
      </c>
      <c r="F65" s="12">
        <f>IF(E65=1,1,0)</f>
        <v/>
      </c>
      <c r="G65" s="12">
        <f>IF(AND(E65&lt;&gt;"",E65&lt;=5),1,0)</f>
        <v/>
      </c>
      <c r="H65" s="11" t="inlineStr">
        <is>
          <t>research/insights-line-avocado</t>
        </is>
      </c>
      <c r="I65" s="11" t="inlineStr">
        <is>
          <t>research/insights-line-avocado#overview</t>
        </is>
      </c>
      <c r="J65" s="11" t="inlineStr">
        <is>
          <t>brand/claims-policy#cp-08</t>
        </is>
      </c>
      <c r="K65" s="11" t="inlineStr">
        <is>
          <t>research/insights-line-avocado#products-in-this-line</t>
        </is>
      </c>
    </row>
    <row r="66">
      <c r="A66" s="5" t="inlineStr">
        <is>
          <t>V16</t>
        </is>
      </c>
      <c r="B66" s="5" t="inlineStr">
        <is>
          <t>Insight</t>
        </is>
      </c>
      <c r="C66" s="5" t="inlineStr">
        <is>
          <t>Tiếng Việt có dấu</t>
        </is>
      </c>
      <c r="D66" s="11" t="inlineStr">
        <is>
          <t>Nhìn chung khách nói gì về dòng Avocado?</t>
        </is>
      </c>
      <c r="E66" s="12" t="n">
        <v>2</v>
      </c>
      <c r="F66" s="12">
        <f>IF(E66=1,1,0)</f>
        <v/>
      </c>
      <c r="G66" s="12">
        <f>IF(AND(E66&lt;&gt;"",E66&lt;=5),1,0)</f>
        <v/>
      </c>
      <c r="H66" s="11" t="inlineStr">
        <is>
          <t>research/insights-line-avocado</t>
        </is>
      </c>
      <c r="I66" s="11" t="inlineStr">
        <is>
          <t>catalog/overview#avocado-line</t>
        </is>
      </c>
      <c r="J66" s="11" t="inlineStr">
        <is>
          <t>research/insights-line-avocado#themes</t>
        </is>
      </c>
      <c r="K66" s="11" t="inlineStr">
        <is>
          <t>research/insights-line-avocado#products-in-this-line</t>
        </is>
      </c>
    </row>
    <row r="67">
      <c r="A67" s="5" t="inlineStr">
        <is>
          <t>V16</t>
        </is>
      </c>
      <c r="B67" s="5" t="inlineStr">
        <is>
          <t>Insight</t>
        </is>
      </c>
      <c r="C67" s="5" t="inlineStr">
        <is>
          <t>Không dấu</t>
        </is>
      </c>
      <c r="D67" s="11" t="inlineStr">
        <is>
          <t>Nhin chung khach noi gi ve dong Avocado?</t>
        </is>
      </c>
      <c r="E67" s="12" t="n">
        <v>2</v>
      </c>
      <c r="F67" s="12">
        <f>IF(E67=1,1,0)</f>
        <v/>
      </c>
      <c r="G67" s="12">
        <f>IF(AND(E67&lt;&gt;"",E67&lt;=5),1,0)</f>
        <v/>
      </c>
      <c r="H67" s="11" t="inlineStr">
        <is>
          <t>research/insights-line-avocado</t>
        </is>
      </c>
      <c r="I67" s="11" t="inlineStr">
        <is>
          <t>catalog/overview#avocado-line</t>
        </is>
      </c>
      <c r="J67" s="11" t="inlineStr">
        <is>
          <t>research/insights-line-avocado#evidence-by-theme-2</t>
        </is>
      </c>
      <c r="K67" s="11" t="inlineStr">
        <is>
          <t>research/insights-line-avocado#products-in-this-line</t>
        </is>
      </c>
    </row>
    <row r="68">
      <c r="A68" s="5" t="inlineStr">
        <is>
          <t>V16</t>
        </is>
      </c>
      <c r="B68" s="5" t="inlineStr">
        <is>
          <t>Insight</t>
        </is>
      </c>
      <c r="C68" s="5" t="inlineStr">
        <is>
          <t>Kiểu chat</t>
        </is>
      </c>
      <c r="D68" s="11" t="inlineStr">
        <is>
          <t>dong bo khach noi gi</t>
        </is>
      </c>
      <c r="E68" s="12" t="n">
        <v>4</v>
      </c>
      <c r="F68" s="12">
        <f>IF(E68=1,1,0)</f>
        <v/>
      </c>
      <c r="G68" s="12">
        <f>IF(AND(E68&lt;&gt;"",E68&lt;=5),1,0)</f>
        <v/>
      </c>
      <c r="H68" s="11" t="inlineStr">
        <is>
          <t>research/insights-line-avocado</t>
        </is>
      </c>
      <c r="I68" s="11" t="inlineStr">
        <is>
          <t>creative/brief-template#overview</t>
        </is>
      </c>
      <c r="J68" s="11" t="inlineStr">
        <is>
          <t>catalog/overview#avocado-line</t>
        </is>
      </c>
      <c r="K68" s="11" t="inlineStr">
        <is>
          <t>sop/influencer-brief#product-specific-notes-from-customer-research</t>
        </is>
      </c>
    </row>
    <row r="69">
      <c r="A69" s="5" t="inlineStr">
        <is>
          <t>V17</t>
        </is>
      </c>
      <c r="B69" s="5" t="inlineStr">
        <is>
          <t>Insight</t>
        </is>
      </c>
      <c r="C69" s="5" t="inlineStr">
        <is>
          <t>Tiếng Anh</t>
        </is>
      </c>
      <c r="D69" s="11" t="inlineStr">
        <is>
          <t>According to reviews, does the Guava serum help with dark spots?</t>
        </is>
      </c>
      <c r="E69" s="12" t="n">
        <v>2</v>
      </c>
      <c r="F69" s="12">
        <f>IF(E69=1,1,0)</f>
        <v/>
      </c>
      <c r="G69" s="12">
        <f>IF(AND(E69&lt;&gt;"",E69&lt;=5),1,0)</f>
        <v/>
      </c>
      <c r="H69" s="11" t="inlineStr">
        <is>
          <t>research/insights-P475543</t>
        </is>
      </c>
      <c r="I69" s="11" t="inlineStr">
        <is>
          <t>product/P475543#overview</t>
        </is>
      </c>
      <c r="J69" s="11" t="inlineStr">
        <is>
          <t>research/insights-P475543#evidence-by-theme-1</t>
        </is>
      </c>
      <c r="K69" s="11" t="inlineStr">
        <is>
          <t>research/insights-P475543#by-year</t>
        </is>
      </c>
    </row>
    <row r="70">
      <c r="A70" s="5" t="inlineStr">
        <is>
          <t>V17</t>
        </is>
      </c>
      <c r="B70" s="5" t="inlineStr">
        <is>
          <t>Insight</t>
        </is>
      </c>
      <c r="C70" s="5" t="inlineStr">
        <is>
          <t>Tiếng Việt có dấu</t>
        </is>
      </c>
      <c r="D70" s="11" t="inlineStr">
        <is>
          <t>Theo review, serum Guava có giúp mờ thâm không?</t>
        </is>
      </c>
      <c r="E70" s="12" t="n">
        <v>1</v>
      </c>
      <c r="F70" s="12">
        <f>IF(E70=1,1,0)</f>
        <v/>
      </c>
      <c r="G70" s="12">
        <f>IF(AND(E70&lt;&gt;"",E70&lt;=5),1,0)</f>
        <v/>
      </c>
      <c r="H70" s="11" t="inlineStr">
        <is>
          <t>research/insights-P475543</t>
        </is>
      </c>
      <c r="I70" s="11" t="inlineStr">
        <is>
          <t>research/insights-P475543#evidence-by-theme-1</t>
        </is>
      </c>
      <c r="J70" s="11" t="inlineStr">
        <is>
          <t>product/P475543#overview</t>
        </is>
      </c>
      <c r="K70" s="11" t="inlineStr">
        <is>
          <t>catalog/overview#guava-line</t>
        </is>
      </c>
    </row>
    <row r="71">
      <c r="A71" s="5" t="inlineStr">
        <is>
          <t>V17</t>
        </is>
      </c>
      <c r="B71" s="5" t="inlineStr">
        <is>
          <t>Insight</t>
        </is>
      </c>
      <c r="C71" s="5" t="inlineStr">
        <is>
          <t>Không dấu</t>
        </is>
      </c>
      <c r="D71" s="11" t="inlineStr">
        <is>
          <t>Theo review, serum Guava co giup mo tham khong?</t>
        </is>
      </c>
      <c r="E71" s="12" t="n">
        <v>1</v>
      </c>
      <c r="F71" s="12">
        <f>IF(E71=1,1,0)</f>
        <v/>
      </c>
      <c r="G71" s="12">
        <f>IF(AND(E71&lt;&gt;"",E71&lt;=5),1,0)</f>
        <v/>
      </c>
      <c r="H71" s="11" t="inlineStr">
        <is>
          <t>research/insights-P475543</t>
        </is>
      </c>
      <c r="I71" s="11" t="inlineStr">
        <is>
          <t>research/insights-P475543#evidence-by-theme-1</t>
        </is>
      </c>
      <c r="J71" s="11" t="inlineStr">
        <is>
          <t>research/insights-P475543#evidence-by-theme-2</t>
        </is>
      </c>
      <c r="K71" s="11" t="inlineStr">
        <is>
          <t>catalog/overview#guava-line</t>
        </is>
      </c>
    </row>
    <row r="72">
      <c r="A72" s="5" t="inlineStr">
        <is>
          <t>V17</t>
        </is>
      </c>
      <c r="B72" s="5" t="inlineStr">
        <is>
          <t>Insight</t>
        </is>
      </c>
      <c r="C72" s="5" t="inlineStr">
        <is>
          <t>Kiểu chat</t>
        </is>
      </c>
      <c r="D72" s="11" t="inlineStr">
        <is>
          <t>serum oi tri tham co hieu qua ko</t>
        </is>
      </c>
      <c r="E72" s="12" t="n">
        <v>4</v>
      </c>
      <c r="F72" s="12">
        <f>IF(E72=1,1,0)</f>
        <v/>
      </c>
      <c r="G72" s="12">
        <f>IF(AND(E72&lt;&gt;"",E72&lt;=5),1,0)</f>
        <v/>
      </c>
      <c r="H72" s="11" t="inlineStr">
        <is>
          <t>research/insights-P475543</t>
        </is>
      </c>
      <c r="I72" s="11" t="inlineStr">
        <is>
          <t>catalog/overview#guava-line</t>
        </is>
      </c>
      <c r="J72" s="11" t="inlineStr">
        <is>
          <t>research/insights-P504125#evidence-by-theme-1</t>
        </is>
      </c>
      <c r="K72" s="11" t="inlineStr">
        <is>
          <t>creative/learnings-2023#ct-06</t>
        </is>
      </c>
    </row>
    <row r="73">
      <c r="A73" s="5" t="inlineStr">
        <is>
          <t>V18</t>
        </is>
      </c>
      <c r="B73" s="5" t="inlineStr">
        <is>
          <t>Insight</t>
        </is>
      </c>
      <c r="C73" s="5" t="inlineStr">
        <is>
          <t>Tiếng Anh</t>
        </is>
      </c>
      <c r="D73" s="11" t="inlineStr">
        <is>
          <t>Is the Watermelon toner good for oily skin?</t>
        </is>
      </c>
      <c r="E73" s="12" t="n">
        <v>1</v>
      </c>
      <c r="F73" s="12">
        <f>IF(E73=1,1,0)</f>
        <v/>
      </c>
      <c r="G73" s="12">
        <f>IF(AND(E73&lt;&gt;"",E73&lt;=5),1,0)</f>
        <v/>
      </c>
      <c r="H73" s="11" t="inlineStr">
        <is>
          <t>research/insights-P458219</t>
        </is>
      </c>
      <c r="I73" s="11" t="inlineStr">
        <is>
          <t>research/insights-P458219#evidence-by-theme-1</t>
        </is>
      </c>
      <c r="J73" s="11" t="inlineStr">
        <is>
          <t>research/insights-P458219#by-skin-type</t>
        </is>
      </c>
      <c r="K73" s="11" t="inlineStr">
        <is>
          <t>research/insights-line-watermelon#evidence-by-theme</t>
        </is>
      </c>
    </row>
    <row r="74">
      <c r="A74" s="5" t="inlineStr">
        <is>
          <t>V18</t>
        </is>
      </c>
      <c r="B74" s="5" t="inlineStr">
        <is>
          <t>Insight</t>
        </is>
      </c>
      <c r="C74" s="5" t="inlineStr">
        <is>
          <t>Tiếng Việt có dấu</t>
        </is>
      </c>
      <c r="D74" s="11" t="inlineStr">
        <is>
          <t>Toner Watermelon có hợp da dầu không?</t>
        </is>
      </c>
      <c r="E74" s="12" t="n">
        <v>2</v>
      </c>
      <c r="F74" s="12">
        <f>IF(E74=1,1,0)</f>
        <v/>
      </c>
      <c r="G74" s="12">
        <f>IF(AND(E74&lt;&gt;"",E74&lt;=5),1,0)</f>
        <v/>
      </c>
      <c r="H74" s="11" t="inlineStr">
        <is>
          <t>research/insights-P458219</t>
        </is>
      </c>
      <c r="I74" s="11" t="inlineStr">
        <is>
          <t>product/P458219#overview</t>
        </is>
      </c>
      <c r="J74" s="11" t="inlineStr">
        <is>
          <t>research/insights-P458219#evidence-by-theme-1</t>
        </is>
      </c>
      <c r="K74" s="11" t="inlineStr">
        <is>
          <t>product/P467762#overview</t>
        </is>
      </c>
    </row>
    <row r="75">
      <c r="A75" s="5" t="inlineStr">
        <is>
          <t>V18</t>
        </is>
      </c>
      <c r="B75" s="5" t="inlineStr">
        <is>
          <t>Insight</t>
        </is>
      </c>
      <c r="C75" s="5" t="inlineStr">
        <is>
          <t>Không dấu</t>
        </is>
      </c>
      <c r="D75" s="11" t="inlineStr">
        <is>
          <t>Toner Watermelon co hop da dau khong?</t>
        </is>
      </c>
      <c r="E75" s="12" t="n">
        <v>2</v>
      </c>
      <c r="F75" s="12">
        <f>IF(E75=1,1,0)</f>
        <v/>
      </c>
      <c r="G75" s="12">
        <f>IF(AND(E75&lt;&gt;"",E75&lt;=5),1,0)</f>
        <v/>
      </c>
      <c r="H75" s="11" t="inlineStr">
        <is>
          <t>research/insights-P458219</t>
        </is>
      </c>
      <c r="I75" s="11" t="inlineStr">
        <is>
          <t>product/P458219#overview</t>
        </is>
      </c>
      <c r="J75" s="11" t="inlineStr">
        <is>
          <t>research/insights-P458219#evidence-by-theme-1</t>
        </is>
      </c>
      <c r="K75" s="11" t="inlineStr">
        <is>
          <t>product/P467762#overview</t>
        </is>
      </c>
    </row>
    <row r="76">
      <c r="A76" s="5" t="inlineStr">
        <is>
          <t>V18</t>
        </is>
      </c>
      <c r="B76" s="5" t="inlineStr">
        <is>
          <t>Insight</t>
        </is>
      </c>
      <c r="C76" s="5" t="inlineStr">
        <is>
          <t>Kiểu chat</t>
        </is>
      </c>
      <c r="D76" s="11" t="inlineStr">
        <is>
          <t>toner dua hau da dau xai dc ko</t>
        </is>
      </c>
      <c r="E76" s="12" t="n">
        <v>1</v>
      </c>
      <c r="F76" s="12">
        <f>IF(E76=1,1,0)</f>
        <v/>
      </c>
      <c r="G76" s="12">
        <f>IF(AND(E76&lt;&gt;"",E76&lt;=5),1,0)</f>
        <v/>
      </c>
      <c r="H76" s="11" t="inlineStr">
        <is>
          <t>research/insights-P458219</t>
        </is>
      </c>
      <c r="I76" s="11" t="inlineStr">
        <is>
          <t>research/insights-P458219#evidence-by-theme-1</t>
        </is>
      </c>
      <c r="J76" s="11" t="inlineStr">
        <is>
          <t>product/P458219#overview</t>
        </is>
      </c>
      <c r="K76" s="11" t="inlineStr">
        <is>
          <t>creative/learnings-2023#ct-08</t>
        </is>
      </c>
    </row>
    <row r="77">
      <c r="A77" s="5" t="inlineStr">
        <is>
          <t>V19</t>
        </is>
      </c>
      <c r="B77" s="5" t="inlineStr">
        <is>
          <t>Compliance</t>
        </is>
      </c>
      <c r="C77" s="5" t="inlineStr">
        <is>
          <t>Tiếng Anh</t>
        </is>
      </c>
      <c r="D77" s="11" t="inlineStr">
        <is>
          <t>Can we say the Avocado serum repairs the skin barrier?</t>
        </is>
      </c>
      <c r="E77" s="12" t="n">
        <v>4</v>
      </c>
      <c r="F77" s="12">
        <f>IF(E77=1,1,0)</f>
        <v/>
      </c>
      <c r="G77" s="12">
        <f>IF(AND(E77&lt;&gt;"",E77&lt;=5),1,0)</f>
        <v/>
      </c>
      <c r="H77" s="11" t="inlineStr">
        <is>
          <t>brand/claims-policy#cp-01</t>
        </is>
      </c>
      <c r="I77" s="11" t="inlineStr">
        <is>
          <t>product/P470529#overview</t>
        </is>
      </c>
      <c r="J77" s="11" t="inlineStr">
        <is>
          <t>brand/claims-policy#quick-lookup-by-product</t>
        </is>
      </c>
      <c r="K77" s="11" t="inlineStr">
        <is>
          <t>research/insights-P470529#by-year</t>
        </is>
      </c>
    </row>
    <row r="78">
      <c r="A78" s="5" t="inlineStr">
        <is>
          <t>V19</t>
        </is>
      </c>
      <c r="B78" s="5" t="inlineStr">
        <is>
          <t>Compliance</t>
        </is>
      </c>
      <c r="C78" s="5" t="inlineStr">
        <is>
          <t>Tiếng Việt có dấu</t>
        </is>
      </c>
      <c r="D78" s="11" t="inlineStr">
        <is>
          <t>Có được nói serum Avocado phục hồi hàng rào bảo vệ da không?</t>
        </is>
      </c>
      <c r="E78" s="12" t="n"/>
      <c r="F78" s="12">
        <f>IF(E78=1,1,0)</f>
        <v/>
      </c>
      <c r="G78" s="12">
        <f>IF(AND(E78&lt;&gt;"",E78&lt;=5),1,0)</f>
        <v/>
      </c>
      <c r="H78" s="11" t="inlineStr">
        <is>
          <t>brand/claims-policy#cp-01</t>
        </is>
      </c>
      <c r="I78" s="11" t="inlineStr">
        <is>
          <t>product/P470529#overview</t>
        </is>
      </c>
      <c r="J78" s="11" t="inlineStr">
        <is>
          <t>catalog/overview#avocado-line</t>
        </is>
      </c>
      <c r="K78" s="11" t="inlineStr">
        <is>
          <t>research/insights-P470529#themes</t>
        </is>
      </c>
    </row>
    <row r="79">
      <c r="A79" s="5" t="inlineStr">
        <is>
          <t>V19</t>
        </is>
      </c>
      <c r="B79" s="5" t="inlineStr">
        <is>
          <t>Compliance</t>
        </is>
      </c>
      <c r="C79" s="5" t="inlineStr">
        <is>
          <t>Không dấu</t>
        </is>
      </c>
      <c r="D79" s="11" t="inlineStr">
        <is>
          <t>Co duoc noi serum Avocado phuc hoi hang rao bao ve da khong?</t>
        </is>
      </c>
      <c r="E79" s="12" t="n"/>
      <c r="F79" s="12">
        <f>IF(E79=1,1,0)</f>
        <v/>
      </c>
      <c r="G79" s="12">
        <f>IF(AND(E79&lt;&gt;"",E79&lt;=5),1,0)</f>
        <v/>
      </c>
      <c r="H79" s="11" t="inlineStr">
        <is>
          <t>brand/claims-policy#cp-01</t>
        </is>
      </c>
      <c r="I79" s="11" t="inlineStr">
        <is>
          <t>product/P470529#overview</t>
        </is>
      </c>
      <c r="J79" s="11" t="inlineStr">
        <is>
          <t>creative/learnings-2023#ct-09</t>
        </is>
      </c>
      <c r="K79" s="11" t="inlineStr">
        <is>
          <t>catalog/overview#avocado-line</t>
        </is>
      </c>
    </row>
    <row r="80">
      <c r="A80" s="5" t="inlineStr">
        <is>
          <t>V19</t>
        </is>
      </c>
      <c r="B80" s="5" t="inlineStr">
        <is>
          <t>Compliance</t>
        </is>
      </c>
      <c r="C80" s="5" t="inlineStr">
        <is>
          <t>Kiểu chat</t>
        </is>
      </c>
      <c r="D80" s="11" t="inlineStr">
        <is>
          <t>dc ghi serum bo phuc hoi hang rao da ko</t>
        </is>
      </c>
      <c r="E80" s="12" t="n"/>
      <c r="F80" s="12">
        <f>IF(E80=1,1,0)</f>
        <v/>
      </c>
      <c r="G80" s="12">
        <f>IF(AND(E80&lt;&gt;"",E80&lt;=5),1,0)</f>
        <v/>
      </c>
      <c r="H80" s="11" t="inlineStr">
        <is>
          <t>brand/claims-policy#cp-01</t>
        </is>
      </c>
      <c r="I80" s="11" t="inlineStr">
        <is>
          <t>catalog/overview#avocado-line</t>
        </is>
      </c>
      <c r="J80" s="11" t="inlineStr">
        <is>
          <t>creative/learnings-2023#ct-06</t>
        </is>
      </c>
      <c r="K80" s="11" t="inlineStr">
        <is>
          <t>catalog/overview#strawberry-line</t>
        </is>
      </c>
    </row>
    <row r="81">
      <c r="A81" s="5" t="inlineStr">
        <is>
          <t>V20</t>
        </is>
      </c>
      <c r="B81" s="5" t="inlineStr">
        <is>
          <t>Compliance</t>
        </is>
      </c>
      <c r="C81" s="5" t="inlineStr">
        <is>
          <t>Tiếng Anh</t>
        </is>
      </c>
      <c r="D81" s="11" t="inlineStr">
        <is>
          <t>Can we say the Guava serum fades melasma?</t>
        </is>
      </c>
      <c r="E81" s="12" t="n">
        <v>1</v>
      </c>
      <c r="F81" s="12">
        <f>IF(E81=1,1,0)</f>
        <v/>
      </c>
      <c r="G81" s="12">
        <f>IF(AND(E81&lt;&gt;"",E81&lt;=5),1,0)</f>
        <v/>
      </c>
      <c r="H81" s="11" t="inlineStr">
        <is>
          <t>brand/claims-policy#cp-03</t>
        </is>
      </c>
      <c r="I81" s="11" t="inlineStr">
        <is>
          <t>brand/claims-policy#cp-03</t>
        </is>
      </c>
      <c r="J81" s="11" t="inlineStr">
        <is>
          <t>research/insights-P475543#evidence-by-theme-2</t>
        </is>
      </c>
      <c r="K81" s="11" t="inlineStr">
        <is>
          <t>product/P475543#overview</t>
        </is>
      </c>
    </row>
    <row r="82">
      <c r="A82" s="5" t="inlineStr">
        <is>
          <t>V20</t>
        </is>
      </c>
      <c r="B82" s="5" t="inlineStr">
        <is>
          <t>Compliance</t>
        </is>
      </c>
      <c r="C82" s="5" t="inlineStr">
        <is>
          <t>Tiếng Việt có dấu</t>
        </is>
      </c>
      <c r="D82" s="11" t="inlineStr">
        <is>
          <t>Có được nói serum Guava làm mờ nám không?</t>
        </is>
      </c>
      <c r="E82" s="12" t="n">
        <v>4</v>
      </c>
      <c r="F82" s="12">
        <f>IF(E82=1,1,0)</f>
        <v/>
      </c>
      <c r="G82" s="12">
        <f>IF(AND(E82&lt;&gt;"",E82&lt;=5),1,0)</f>
        <v/>
      </c>
      <c r="H82" s="11" t="inlineStr">
        <is>
          <t>brand/claims-policy#cp-03</t>
        </is>
      </c>
      <c r="I82" s="11" t="inlineStr">
        <is>
          <t>product/P475543#overview</t>
        </is>
      </c>
      <c r="J82" s="11" t="inlineStr">
        <is>
          <t>research/insights-P475543#evidence-by-theme-1</t>
        </is>
      </c>
      <c r="K82" s="11" t="inlineStr">
        <is>
          <t>catalog/overview#guava-line</t>
        </is>
      </c>
    </row>
    <row r="83">
      <c r="A83" s="5" t="inlineStr">
        <is>
          <t>V20</t>
        </is>
      </c>
      <c r="B83" s="5" t="inlineStr">
        <is>
          <t>Compliance</t>
        </is>
      </c>
      <c r="C83" s="5" t="inlineStr">
        <is>
          <t>Không dấu</t>
        </is>
      </c>
      <c r="D83" s="11" t="inlineStr">
        <is>
          <t>Co duoc noi serum Guava lam mo nam khong?</t>
        </is>
      </c>
      <c r="E83" s="12" t="n">
        <v>4</v>
      </c>
      <c r="F83" s="12">
        <f>IF(E83=1,1,0)</f>
        <v/>
      </c>
      <c r="G83" s="12">
        <f>IF(AND(E83&lt;&gt;"",E83&lt;=5),1,0)</f>
        <v/>
      </c>
      <c r="H83" s="11" t="inlineStr">
        <is>
          <t>brand/claims-policy#cp-03</t>
        </is>
      </c>
      <c r="I83" s="11" t="inlineStr">
        <is>
          <t>product/P475543#overview</t>
        </is>
      </c>
      <c r="J83" s="11" t="inlineStr">
        <is>
          <t>research/insights-P475543#evidence-by-theme-1</t>
        </is>
      </c>
      <c r="K83" s="11" t="inlineStr">
        <is>
          <t>catalog/overview#guava-line</t>
        </is>
      </c>
    </row>
    <row r="84">
      <c r="A84" s="5" t="inlineStr">
        <is>
          <t>V20</t>
        </is>
      </c>
      <c r="B84" s="5" t="inlineStr">
        <is>
          <t>Compliance</t>
        </is>
      </c>
      <c r="C84" s="5" t="inlineStr">
        <is>
          <t>Kiểu chat</t>
        </is>
      </c>
      <c r="D84" s="11" t="inlineStr">
        <is>
          <t>ghi serum oi tri nam dc ko</t>
        </is>
      </c>
      <c r="E84" s="12" t="n">
        <v>2</v>
      </c>
      <c r="F84" s="12">
        <f>IF(E84=1,1,0)</f>
        <v/>
      </c>
      <c r="G84" s="12">
        <f>IF(AND(E84&lt;&gt;"",E84&lt;=5),1,0)</f>
        <v/>
      </c>
      <c r="H84" s="11" t="inlineStr">
        <is>
          <t>brand/claims-policy#cp-03</t>
        </is>
      </c>
      <c r="I84" s="11" t="inlineStr">
        <is>
          <t>product/P504636#overview</t>
        </is>
      </c>
      <c r="J84" s="11" t="inlineStr">
        <is>
          <t>brand/claims-policy#cp-03</t>
        </is>
      </c>
      <c r="K84" s="11" t="inlineStr">
        <is>
          <t>research/insights-P504125#evidence-by-theme-1</t>
        </is>
      </c>
    </row>
    <row r="85">
      <c r="A85" s="5" t="inlineStr">
        <is>
          <t>V21</t>
        </is>
      </c>
      <c r="B85" s="5" t="inlineStr">
        <is>
          <t>Compliance</t>
        </is>
      </c>
      <c r="C85" s="5" t="inlineStr">
        <is>
          <t>Tiếng Anh</t>
        </is>
      </c>
      <c r="D85" s="11" t="inlineStr">
        <is>
          <t>Can we call our sunscreen a sunblock?</t>
        </is>
      </c>
      <c r="E85" s="12" t="n">
        <v>1</v>
      </c>
      <c r="F85" s="12">
        <f>IF(E85=1,1,0)</f>
        <v/>
      </c>
      <c r="G85" s="12">
        <f>IF(AND(E85&lt;&gt;"",E85&lt;=5),1,0)</f>
        <v/>
      </c>
      <c r="H85" s="11" t="inlineStr">
        <is>
          <t>brand/claims-policy#cp-05
compliance/fda-sunscreen-labeling#prohibited-terms</t>
        </is>
      </c>
      <c r="I85" s="11" t="inlineStr">
        <is>
          <t>compliance/fda-sunscreen-labeling#prohibited-terms</t>
        </is>
      </c>
      <c r="J85" s="11" t="inlineStr">
        <is>
          <t>brand/claims-policy#cp-05</t>
        </is>
      </c>
      <c r="K85" s="11" t="inlineStr">
        <is>
          <t>compliance/fda-sunscreen-labeling#overview</t>
        </is>
      </c>
    </row>
    <row r="86">
      <c r="A86" s="5" t="inlineStr">
        <is>
          <t>V21</t>
        </is>
      </c>
      <c r="B86" s="5" t="inlineStr">
        <is>
          <t>Compliance</t>
        </is>
      </c>
      <c r="C86" s="5" t="inlineStr">
        <is>
          <t>Tiếng Việt có dấu</t>
        </is>
      </c>
      <c r="D86" s="11" t="inlineStr">
        <is>
          <t>Có được gọi kem chống nắng là sunblock không?</t>
        </is>
      </c>
      <c r="E86" s="12" t="n">
        <v>1</v>
      </c>
      <c r="F86" s="12">
        <f>IF(E86=1,1,0)</f>
        <v/>
      </c>
      <c r="G86" s="12">
        <f>IF(AND(E86&lt;&gt;"",E86&lt;=5),1,0)</f>
        <v/>
      </c>
      <c r="H86" s="11" t="inlineStr">
        <is>
          <t>brand/claims-policy#cp-05
compliance/fda-sunscreen-labeling#prohibited-terms</t>
        </is>
      </c>
      <c r="I86" s="11" t="inlineStr">
        <is>
          <t>compliance/fda-sunscreen-labeling#prohibited-terms</t>
        </is>
      </c>
      <c r="J86" s="11" t="inlineStr">
        <is>
          <t>brand/claims-policy#cp-05</t>
        </is>
      </c>
      <c r="K86" s="11" t="inlineStr">
        <is>
          <t>product/P481989#overview</t>
        </is>
      </c>
    </row>
    <row r="87">
      <c r="A87" s="5" t="inlineStr">
        <is>
          <t>V21</t>
        </is>
      </c>
      <c r="B87" s="5" t="inlineStr">
        <is>
          <t>Compliance</t>
        </is>
      </c>
      <c r="C87" s="5" t="inlineStr">
        <is>
          <t>Không dấu</t>
        </is>
      </c>
      <c r="D87" s="11" t="inlineStr">
        <is>
          <t>Co duoc goi kem chong nang la sunblock khong?</t>
        </is>
      </c>
      <c r="E87" s="12" t="n">
        <v>1</v>
      </c>
      <c r="F87" s="12">
        <f>IF(E87=1,1,0)</f>
        <v/>
      </c>
      <c r="G87" s="12">
        <f>IF(AND(E87&lt;&gt;"",E87&lt;=5),1,0)</f>
        <v/>
      </c>
      <c r="H87" s="11" t="inlineStr">
        <is>
          <t>brand/claims-policy#cp-05
compliance/fda-sunscreen-labeling#prohibited-terms</t>
        </is>
      </c>
      <c r="I87" s="11" t="inlineStr">
        <is>
          <t>brand/claims-policy#cp-05</t>
        </is>
      </c>
      <c r="J87" s="11" t="inlineStr">
        <is>
          <t>compliance/fda-sunscreen-labeling#prohibited-terms</t>
        </is>
      </c>
      <c r="K87" s="11" t="inlineStr">
        <is>
          <t>compliance/fda-sunscreen-labeling#relevance</t>
        </is>
      </c>
    </row>
    <row r="88">
      <c r="A88" s="5" t="inlineStr">
        <is>
          <t>V21</t>
        </is>
      </c>
      <c r="B88" s="5" t="inlineStr">
        <is>
          <t>Compliance</t>
        </is>
      </c>
      <c r="C88" s="5" t="inlineStr">
        <is>
          <t>Kiểu chat</t>
        </is>
      </c>
      <c r="D88" s="11" t="inlineStr">
        <is>
          <t>ghi sunblock dc ko</t>
        </is>
      </c>
      <c r="E88" s="12" t="n">
        <v>1</v>
      </c>
      <c r="F88" s="12">
        <f>IF(E88=1,1,0)</f>
        <v/>
      </c>
      <c r="G88" s="12">
        <f>IF(AND(E88&lt;&gt;"",E88&lt;=5),1,0)</f>
        <v/>
      </c>
      <c r="H88" s="11" t="inlineStr">
        <is>
          <t>brand/claims-policy#cp-05
compliance/fda-sunscreen-labeling#prohibited-terms</t>
        </is>
      </c>
      <c r="I88" s="11" t="inlineStr">
        <is>
          <t>brand/claims-policy#cp-05</t>
        </is>
      </c>
      <c r="J88" s="11" t="inlineStr">
        <is>
          <t>compliance/fda-sunscreen-labeling#prohibited-terms</t>
        </is>
      </c>
      <c r="K88" s="11" t="inlineStr">
        <is>
          <t>brand/claims-policy#cp-04</t>
        </is>
      </c>
    </row>
    <row r="89">
      <c r="A89" s="5" t="inlineStr">
        <is>
          <t>V22</t>
        </is>
      </c>
      <c r="B89" s="5" t="inlineStr">
        <is>
          <t>Compliance</t>
        </is>
      </c>
      <c r="C89" s="5" t="inlineStr">
        <is>
          <t>Tiếng Anh</t>
        </is>
      </c>
      <c r="D89" s="11" t="inlineStr">
        <is>
          <t>How often must sunscreen copy tell people to reapply?</t>
        </is>
      </c>
      <c r="E89" s="12" t="n">
        <v>1</v>
      </c>
      <c r="F89" s="12">
        <f>IF(E89=1,1,0)</f>
        <v/>
      </c>
      <c r="G89" s="12">
        <f>IF(AND(E89&lt;&gt;"",E89&lt;=5),1,0)</f>
        <v/>
      </c>
      <c r="H89" s="11" t="inlineStr">
        <is>
          <t>brand/claims-policy#cp-05
compliance/fda-sunscreen-labeling#water-resistance</t>
        </is>
      </c>
      <c r="I89" s="11" t="inlineStr">
        <is>
          <t>compliance/fda-sunscreen-labeling#water-resistance</t>
        </is>
      </c>
      <c r="J89" s="11" t="inlineStr">
        <is>
          <t>brand/claims-policy#cp-05</t>
        </is>
      </c>
      <c r="K89" s="11" t="inlineStr">
        <is>
          <t>sop/ad-claim-review#self-check-checklist</t>
        </is>
      </c>
    </row>
    <row r="90">
      <c r="A90" s="5" t="inlineStr">
        <is>
          <t>V22</t>
        </is>
      </c>
      <c r="B90" s="5" t="inlineStr">
        <is>
          <t>Compliance</t>
        </is>
      </c>
      <c r="C90" s="5" t="inlineStr">
        <is>
          <t>Tiếng Việt có dấu</t>
        </is>
      </c>
      <c r="D90" s="11" t="inlineStr">
        <is>
          <t>Nội dung về kem chống nắng phải nhắc thoa lại sau bao lâu?</t>
        </is>
      </c>
      <c r="E90" s="12" t="n">
        <v>1</v>
      </c>
      <c r="F90" s="12">
        <f>IF(E90=1,1,0)</f>
        <v/>
      </c>
      <c r="G90" s="12">
        <f>IF(AND(E90&lt;&gt;"",E90&lt;=5),1,0)</f>
        <v/>
      </c>
      <c r="H90" s="11" t="inlineStr">
        <is>
          <t>brand/claims-policy#cp-05
compliance/fda-sunscreen-labeling#water-resistance</t>
        </is>
      </c>
      <c r="I90" s="11" t="inlineStr">
        <is>
          <t>brand/claims-policy#cp-05</t>
        </is>
      </c>
      <c r="J90" s="11" t="inlineStr">
        <is>
          <t>product/P481989#overview</t>
        </is>
      </c>
      <c r="K90" s="11" t="inlineStr">
        <is>
          <t>creative/learnings-2023#ct-04</t>
        </is>
      </c>
    </row>
    <row r="91">
      <c r="A91" s="5" t="inlineStr">
        <is>
          <t>V22</t>
        </is>
      </c>
      <c r="B91" s="5" t="inlineStr">
        <is>
          <t>Compliance</t>
        </is>
      </c>
      <c r="C91" s="5" t="inlineStr">
        <is>
          <t>Không dấu</t>
        </is>
      </c>
      <c r="D91" s="11" t="inlineStr">
        <is>
          <t>Noi dung ve kem chong nang phai nhac thoa lai sau bao lau?</t>
        </is>
      </c>
      <c r="E91" s="12" t="n">
        <v>8</v>
      </c>
      <c r="F91" s="12">
        <f>IF(E91=1,1,0)</f>
        <v/>
      </c>
      <c r="G91" s="12">
        <f>IF(AND(E91&lt;&gt;"",E91&lt;=5),1,0)</f>
        <v/>
      </c>
      <c r="H91" s="11" t="inlineStr">
        <is>
          <t>brand/claims-policy#cp-05
compliance/fda-sunscreen-labeling#water-resistance</t>
        </is>
      </c>
      <c r="I91" s="11" t="inlineStr">
        <is>
          <t>sop/influencer-brief#product-specific-notes-from-customer-research</t>
        </is>
      </c>
      <c r="J91" s="11" t="inlineStr">
        <is>
          <t>product/P481989#overview</t>
        </is>
      </c>
      <c r="K91" s="11" t="inlineStr">
        <is>
          <t>compliance/fda-sunscreen-labeling#relevance</t>
        </is>
      </c>
    </row>
    <row r="92">
      <c r="A92" s="5" t="inlineStr">
        <is>
          <t>V22</t>
        </is>
      </c>
      <c r="B92" s="5" t="inlineStr">
        <is>
          <t>Compliance</t>
        </is>
      </c>
      <c r="C92" s="5" t="inlineStr">
        <is>
          <t>Kiểu chat</t>
        </is>
      </c>
      <c r="D92" s="11" t="inlineStr">
        <is>
          <t>kem chong nang phai ghi thoa lai bao lau</t>
        </is>
      </c>
      <c r="E92" s="12" t="n">
        <v>8</v>
      </c>
      <c r="F92" s="12">
        <f>IF(E92=1,1,0)</f>
        <v/>
      </c>
      <c r="G92" s="12">
        <f>IF(AND(E92&lt;&gt;"",E92&lt;=5),1,0)</f>
        <v/>
      </c>
      <c r="H92" s="11" t="inlineStr">
        <is>
          <t>brand/claims-policy#cp-05
compliance/fda-sunscreen-labeling#water-resistance</t>
        </is>
      </c>
      <c r="I92" s="11" t="inlineStr">
        <is>
          <t>sop/influencer-brief#product-specific-notes-from-customer-research</t>
        </is>
      </c>
      <c r="J92" s="11" t="inlineStr">
        <is>
          <t>product/P481989#overview</t>
        </is>
      </c>
      <c r="K92" s="11" t="inlineStr">
        <is>
          <t>sop/review-response#reply-templates</t>
        </is>
      </c>
    </row>
    <row r="93">
      <c r="A93" s="5" t="inlineStr">
        <is>
          <t>V23</t>
        </is>
      </c>
      <c r="B93" s="5" t="inlineStr">
        <is>
          <t>Compliance</t>
        </is>
      </c>
      <c r="C93" s="5" t="inlineStr">
        <is>
          <t>Tiếng Anh</t>
        </is>
      </c>
      <c r="D93" s="11" t="inlineStr">
        <is>
          <t>Can we use a customer review that says 'this cleared my acne' in an ad?</t>
        </is>
      </c>
      <c r="E93" s="12" t="n">
        <v>1</v>
      </c>
      <c r="F93" s="12">
        <f>IF(E93=1,1,0)</f>
        <v/>
      </c>
      <c r="G93" s="12">
        <f>IF(AND(E93&lt;&gt;"",E93&lt;=5),1,0)</f>
        <v/>
      </c>
      <c r="H93" s="11" t="inlineStr">
        <is>
          <t>brand/claims-policy#cp-07
brand/claims-policy#cp-02
compliance/ftc-health-claims#5-testimonials-and-endorsements</t>
        </is>
      </c>
      <c r="I93" s="11" t="inlineStr">
        <is>
          <t>brand/claims-policy#cp-07</t>
        </is>
      </c>
      <c r="J93" s="11" t="inlineStr">
        <is>
          <t>compliance/ftc-health-claims#5-testimonials-and-endorsements</t>
        </is>
      </c>
      <c r="K93" s="11" t="inlineStr">
        <is>
          <t>sop/review-response#principles</t>
        </is>
      </c>
    </row>
    <row r="94">
      <c r="A94" s="5" t="inlineStr">
        <is>
          <t>V23</t>
        </is>
      </c>
      <c r="B94" s="5" t="inlineStr">
        <is>
          <t>Compliance</t>
        </is>
      </c>
      <c r="C94" s="5" t="inlineStr">
        <is>
          <t>Tiếng Việt có dấu</t>
        </is>
      </c>
      <c r="D94" s="11" t="inlineStr">
        <is>
          <t>Có được dùng review 'hết sạch mụn' của khách trong quảng cáo không?</t>
        </is>
      </c>
      <c r="E94" s="12" t="n">
        <v>1</v>
      </c>
      <c r="F94" s="12">
        <f>IF(E94=1,1,0)</f>
        <v/>
      </c>
      <c r="G94" s="12">
        <f>IF(AND(E94&lt;&gt;"",E94&lt;=5),1,0)</f>
        <v/>
      </c>
      <c r="H94" s="11" t="inlineStr">
        <is>
          <t>brand/claims-policy#cp-07
brand/claims-policy#cp-02
compliance/ftc-health-claims#5-testimonials-and-endorsements</t>
        </is>
      </c>
      <c r="I94" s="11" t="inlineStr">
        <is>
          <t>brand/claims-policy#cp-07</t>
        </is>
      </c>
      <c r="J94" s="11" t="inlineStr">
        <is>
          <t>sop/ad-claim-review#self-check-checklist</t>
        </is>
      </c>
      <c r="K94" s="11" t="inlineStr">
        <is>
          <t>compliance/ftc-endorsement-guides#reviews</t>
        </is>
      </c>
    </row>
    <row r="95">
      <c r="A95" s="5" t="inlineStr">
        <is>
          <t>V23</t>
        </is>
      </c>
      <c r="B95" s="5" t="inlineStr">
        <is>
          <t>Compliance</t>
        </is>
      </c>
      <c r="C95" s="5" t="inlineStr">
        <is>
          <t>Không dấu</t>
        </is>
      </c>
      <c r="D95" s="11" t="inlineStr">
        <is>
          <t>Co duoc dung review 'het sach mun' cua khach trong quang cao khong?</t>
        </is>
      </c>
      <c r="E95" s="12" t="n">
        <v>4</v>
      </c>
      <c r="F95" s="12">
        <f>IF(E95=1,1,0)</f>
        <v/>
      </c>
      <c r="G95" s="12">
        <f>IF(AND(E95&lt;&gt;"",E95&lt;=5),1,0)</f>
        <v/>
      </c>
      <c r="H95" s="11" t="inlineStr">
        <is>
          <t>brand/claims-policy#cp-07
brand/claims-policy#cp-02
compliance/ftc-health-claims#5-testimonials-and-endorsements</t>
        </is>
      </c>
      <c r="I95" s="11" t="inlineStr">
        <is>
          <t>compliance/ftc-endorsement-guides#reviews</t>
        </is>
      </c>
      <c r="J95" s="11" t="inlineStr">
        <is>
          <t>sop/ad-claim-review#self-check-checklist</t>
        </is>
      </c>
      <c r="K95" s="11" t="inlineStr">
        <is>
          <t>sop/influencer-brief#product-specific-notes-from-customer-research</t>
        </is>
      </c>
    </row>
    <row r="96">
      <c r="A96" s="5" t="inlineStr">
        <is>
          <t>V23</t>
        </is>
      </c>
      <c r="B96" s="5" t="inlineStr">
        <is>
          <t>Compliance</t>
        </is>
      </c>
      <c r="C96" s="5" t="inlineStr">
        <is>
          <t>Kiểu chat</t>
        </is>
      </c>
      <c r="D96" s="11" t="inlineStr">
        <is>
          <t>lay review het mun cua khach chay ads dc ko</t>
        </is>
      </c>
      <c r="E96" s="12" t="n">
        <v>3</v>
      </c>
      <c r="F96" s="12">
        <f>IF(E96=1,1,0)</f>
        <v/>
      </c>
      <c r="G96" s="12">
        <f>IF(AND(E96&lt;&gt;"",E96&lt;=5),1,0)</f>
        <v/>
      </c>
      <c r="H96" s="11" t="inlineStr">
        <is>
          <t>brand/claims-policy#cp-07
brand/claims-policy#cp-02
compliance/ftc-health-claims#5-testimonials-and-endorsements</t>
        </is>
      </c>
      <c r="I96" s="11" t="inlineStr">
        <is>
          <t>brand/claims-policy#overview</t>
        </is>
      </c>
      <c r="J96" s="11" t="inlineStr">
        <is>
          <t>creative/learnings-2023#open-questions-and-data-gaps</t>
        </is>
      </c>
      <c r="K96" s="11" t="inlineStr">
        <is>
          <t>brand/claims-policy#cp-02</t>
        </is>
      </c>
    </row>
    <row r="97">
      <c r="A97" s="5" t="inlineStr">
        <is>
          <t>V24</t>
        </is>
      </c>
      <c r="B97" s="5" t="inlineStr">
        <is>
          <t>Compliance</t>
        </is>
      </c>
      <c r="C97" s="5" t="inlineStr">
        <is>
          <t>Tiếng Anh</t>
        </is>
      </c>
      <c r="D97" s="11" t="inlineStr">
        <is>
          <t>Can we say dermatologist recommended?</t>
        </is>
      </c>
      <c r="E97" s="12" t="n">
        <v>2</v>
      </c>
      <c r="F97" s="12">
        <f>IF(E97=1,1,0)</f>
        <v/>
      </c>
      <c r="G97" s="12">
        <f>IF(AND(E97&lt;&gt;"",E97&lt;=5),1,0)</f>
        <v/>
      </c>
      <c r="H97" s="11" t="inlineStr">
        <is>
          <t>brand/claims-policy#cp-06</t>
        </is>
      </c>
      <c r="I97" s="11" t="inlineStr">
        <is>
          <t>compliance/ftc-health-claims#practical-implications-knowledge-base-s-reading</t>
        </is>
      </c>
      <c r="J97" s="11" t="inlineStr">
        <is>
          <t>brand/claims-policy#cp-06</t>
        </is>
      </c>
      <c r="K97" s="11" t="inlineStr">
        <is>
          <t>sop/ad-claim-review#self-check-checklist</t>
        </is>
      </c>
    </row>
    <row r="98">
      <c r="A98" s="5" t="inlineStr">
        <is>
          <t>V24</t>
        </is>
      </c>
      <c r="B98" s="5" t="inlineStr">
        <is>
          <t>Compliance</t>
        </is>
      </c>
      <c r="C98" s="5" t="inlineStr">
        <is>
          <t>Tiếng Việt có dấu</t>
        </is>
      </c>
      <c r="D98" s="11" t="inlineStr">
        <is>
          <t>Có được ghi được bác sĩ da liễu khuyên dùng không?</t>
        </is>
      </c>
      <c r="E98" s="12" t="n">
        <v>2</v>
      </c>
      <c r="F98" s="12">
        <f>IF(E98=1,1,0)</f>
        <v/>
      </c>
      <c r="G98" s="12">
        <f>IF(AND(E98&lt;&gt;"",E98&lt;=5),1,0)</f>
        <v/>
      </c>
      <c r="H98" s="11" t="inlineStr">
        <is>
          <t>brand/claims-policy#cp-06</t>
        </is>
      </c>
      <c r="I98" s="11" t="inlineStr">
        <is>
          <t>compliance/ftc-health-claims#practical-implications-knowledge-base-s-reading</t>
        </is>
      </c>
      <c r="J98" s="11" t="inlineStr">
        <is>
          <t>brand/claims-policy#cp-06</t>
        </is>
      </c>
      <c r="K98" s="11" t="inlineStr">
        <is>
          <t>sop/ad-claim-review#claims-register-status-as-of-2023-04-01</t>
        </is>
      </c>
    </row>
    <row r="99">
      <c r="A99" s="5" t="inlineStr">
        <is>
          <t>V24</t>
        </is>
      </c>
      <c r="B99" s="5" t="inlineStr">
        <is>
          <t>Compliance</t>
        </is>
      </c>
      <c r="C99" s="5" t="inlineStr">
        <is>
          <t>Không dấu</t>
        </is>
      </c>
      <c r="D99" s="11" t="inlineStr">
        <is>
          <t>Co duoc ghi duoc bac si da lieu khuyen dung khong?</t>
        </is>
      </c>
      <c r="E99" s="12" t="n">
        <v>7</v>
      </c>
      <c r="F99" s="12">
        <f>IF(E99=1,1,0)</f>
        <v/>
      </c>
      <c r="G99" s="12">
        <f>IF(AND(E99&lt;&gt;"",E99&lt;=5),1,0)</f>
        <v/>
      </c>
      <c r="H99" s="11" t="inlineStr">
        <is>
          <t>brand/claims-policy#cp-06</t>
        </is>
      </c>
      <c r="I99" s="11" t="inlineStr">
        <is>
          <t>compliance/ftc-health-claims#practical-implications-knowledge-base-s-reading</t>
        </is>
      </c>
      <c r="J99" s="11" t="inlineStr">
        <is>
          <t>creative/learnings-2023#open-questions-and-data-gaps</t>
        </is>
      </c>
      <c r="K99" s="11" t="inlineStr">
        <is>
          <t>sop/ad-claim-review#claims-register-status-as-of-2023-04-01</t>
        </is>
      </c>
    </row>
    <row r="100">
      <c r="A100" s="5" t="inlineStr">
        <is>
          <t>V24</t>
        </is>
      </c>
      <c r="B100" s="5" t="inlineStr">
        <is>
          <t>Compliance</t>
        </is>
      </c>
      <c r="C100" s="5" t="inlineStr">
        <is>
          <t>Kiểu chat</t>
        </is>
      </c>
      <c r="D100" s="11" t="inlineStr">
        <is>
          <t>ghi bac si da lieu khuyen dung dc ko</t>
        </is>
      </c>
      <c r="E100" s="12" t="n">
        <v>5</v>
      </c>
      <c r="F100" s="12">
        <f>IF(E100=1,1,0)</f>
        <v/>
      </c>
      <c r="G100" s="12">
        <f>IF(AND(E100&lt;&gt;"",E100&lt;=5),1,0)</f>
        <v/>
      </c>
      <c r="H100" s="11" t="inlineStr">
        <is>
          <t>brand/claims-policy#cp-06</t>
        </is>
      </c>
      <c r="I100" s="11" t="inlineStr">
        <is>
          <t>compliance/ftc-health-claims#practical-implications-knowledge-base-s-reading</t>
        </is>
      </c>
      <c r="J100" s="11" t="inlineStr">
        <is>
          <t>brand/claims-policy#overview</t>
        </is>
      </c>
      <c r="K100" s="11" t="inlineStr">
        <is>
          <t>policy/returns#not-covered-by-the-policy-text</t>
        </is>
      </c>
    </row>
    <row r="101">
      <c r="A101" s="5" t="inlineStr">
        <is>
          <t>V25</t>
        </is>
      </c>
      <c r="B101" s="5" t="inlineStr">
        <is>
          <t>Compliance</t>
        </is>
      </c>
      <c r="C101" s="5" t="inlineStr">
        <is>
          <t>Tiếng Anh</t>
        </is>
      </c>
      <c r="D101" s="11" t="inlineStr">
        <is>
          <t>Is it fine to call it our best-selling serum?</t>
        </is>
      </c>
      <c r="E101" s="12" t="n">
        <v>5</v>
      </c>
      <c r="F101" s="12">
        <f>IF(E101=1,1,0)</f>
        <v/>
      </c>
      <c r="G101" s="12">
        <f>IF(AND(E101&lt;&gt;"",E101&lt;=5),1,0)</f>
        <v/>
      </c>
      <c r="H101" s="11" t="inlineStr">
        <is>
          <t>brand/claims-policy#cp-12</t>
        </is>
      </c>
      <c r="I101" s="11" t="inlineStr">
        <is>
          <t>sop/ad-claim-review#claims-register-status-as-of-2023-04-01</t>
        </is>
      </c>
      <c r="J101" s="11" t="inlineStr">
        <is>
          <t>creative/learnings-2023#ct-09</t>
        </is>
      </c>
      <c r="K101" s="11" t="inlineStr">
        <is>
          <t>research/insights-P475543#evidence-by-theme-1</t>
        </is>
      </c>
    </row>
    <row r="102">
      <c r="A102" s="5" t="inlineStr">
        <is>
          <t>V25</t>
        </is>
      </c>
      <c r="B102" s="5" t="inlineStr">
        <is>
          <t>Compliance</t>
        </is>
      </c>
      <c r="C102" s="5" t="inlineStr">
        <is>
          <t>Tiếng Việt có dấu</t>
        </is>
      </c>
      <c r="D102" s="11" t="inlineStr">
        <is>
          <t>Có được nói đây là serum bán chạy nhất không?</t>
        </is>
      </c>
      <c r="E102" s="12" t="n"/>
      <c r="F102" s="12">
        <f>IF(E102=1,1,0)</f>
        <v/>
      </c>
      <c r="G102" s="12">
        <f>IF(AND(E102&lt;&gt;"",E102&lt;=5),1,0)</f>
        <v/>
      </c>
      <c r="H102" s="11" t="inlineStr">
        <is>
          <t>brand/claims-policy#cp-12</t>
        </is>
      </c>
      <c r="I102" s="11" t="inlineStr">
        <is>
          <t>research/insights-line-plum#evidence-by-theme-1</t>
        </is>
      </c>
      <c r="J102" s="11" t="inlineStr">
        <is>
          <t>catalog/overview#strawberry-line</t>
        </is>
      </c>
      <c r="K102" s="11" t="inlineStr">
        <is>
          <t>research/insights-P475543#evidence-by-theme-1</t>
        </is>
      </c>
    </row>
    <row r="103">
      <c r="A103" s="5" t="inlineStr">
        <is>
          <t>V25</t>
        </is>
      </c>
      <c r="B103" s="5" t="inlineStr">
        <is>
          <t>Compliance</t>
        </is>
      </c>
      <c r="C103" s="5" t="inlineStr">
        <is>
          <t>Không dấu</t>
        </is>
      </c>
      <c r="D103" s="11" t="inlineStr">
        <is>
          <t>Co duoc noi day la serum ban chay nhat khong?</t>
        </is>
      </c>
      <c r="E103" s="12" t="n"/>
      <c r="F103" s="12">
        <f>IF(E103=1,1,0)</f>
        <v/>
      </c>
      <c r="G103" s="12">
        <f>IF(AND(E103&lt;&gt;"",E103&lt;=5),1,0)</f>
        <v/>
      </c>
      <c r="H103" s="11" t="inlineStr">
        <is>
          <t>brand/claims-policy#cp-12</t>
        </is>
      </c>
      <c r="I103" s="11" t="inlineStr">
        <is>
          <t>creative/learnings-2023#ct-04</t>
        </is>
      </c>
      <c r="J103" s="11" t="inlineStr">
        <is>
          <t>creative/learnings-2023#ct-06</t>
        </is>
      </c>
      <c r="K103" s="11" t="inlineStr">
        <is>
          <t>brand/voice-guide#vocabulary</t>
        </is>
      </c>
    </row>
    <row r="104">
      <c r="A104" s="5" t="inlineStr">
        <is>
          <t>V25</t>
        </is>
      </c>
      <c r="B104" s="5" t="inlineStr">
        <is>
          <t>Compliance</t>
        </is>
      </c>
      <c r="C104" s="5" t="inlineStr">
        <is>
          <t>Kiểu chat</t>
        </is>
      </c>
      <c r="D104" s="11" t="inlineStr">
        <is>
          <t>noi serum ban chay nhat dc ko</t>
        </is>
      </c>
      <c r="E104" s="12" t="n"/>
      <c r="F104" s="12">
        <f>IF(E104=1,1,0)</f>
        <v/>
      </c>
      <c r="G104" s="12">
        <f>IF(AND(E104&lt;&gt;"",E104&lt;=5),1,0)</f>
        <v/>
      </c>
      <c r="H104" s="11" t="inlineStr">
        <is>
          <t>brand/claims-policy#cp-12</t>
        </is>
      </c>
      <c r="I104" s="11" t="inlineStr">
        <is>
          <t>creative/learnings-2023#ct-04</t>
        </is>
      </c>
      <c r="J104" s="11" t="inlineStr">
        <is>
          <t>creative/learnings-2023#ct-06</t>
        </is>
      </c>
      <c r="K104" s="11" t="inlineStr">
        <is>
          <t>brand/voice-guide#vocabulary</t>
        </is>
      </c>
    </row>
    <row r="105">
      <c r="A105" s="5" t="inlineStr">
        <is>
          <t>V26</t>
        </is>
      </c>
      <c r="B105" s="5" t="inlineStr">
        <is>
          <t>Compliance</t>
        </is>
      </c>
      <c r="C105" s="5" t="inlineStr">
        <is>
          <t>Tiếng Anh</t>
        </is>
      </c>
      <c r="D105" s="11" t="inlineStr">
        <is>
          <t>Can we say a fragranced product suits sensitive skin?</t>
        </is>
      </c>
      <c r="E105" s="12" t="n">
        <v>3</v>
      </c>
      <c r="F105" s="12">
        <f>IF(E105=1,1,0)</f>
        <v/>
      </c>
      <c r="G105" s="12">
        <f>IF(AND(E105&lt;&gt;"",E105&lt;=5),1,0)</f>
        <v/>
      </c>
      <c r="H105" s="11" t="inlineStr">
        <is>
          <t>brand/claims-policy#cp-09</t>
        </is>
      </c>
      <c r="I105" s="11" t="inlineStr">
        <is>
          <t>brand/voice-guide#talking-about-scent</t>
        </is>
      </c>
      <c r="J105" s="11" t="inlineStr">
        <is>
          <t>research/insights-line-blueberry#evidence-by-theme-2</t>
        </is>
      </c>
      <c r="K105" s="11" t="inlineStr">
        <is>
          <t>brand/claims-policy#cp-09</t>
        </is>
      </c>
    </row>
    <row r="106">
      <c r="A106" s="5" t="inlineStr">
        <is>
          <t>V26</t>
        </is>
      </c>
      <c r="B106" s="5" t="inlineStr">
        <is>
          <t>Compliance</t>
        </is>
      </c>
      <c r="C106" s="5" t="inlineStr">
        <is>
          <t>Tiếng Việt có dấu</t>
        </is>
      </c>
      <c r="D106" s="11" t="inlineStr">
        <is>
          <t>Có được nói sản phẩm có hương liệu phù hợp da nhạy cảm không?</t>
        </is>
      </c>
      <c r="E106" s="12" t="n">
        <v>8</v>
      </c>
      <c r="F106" s="12">
        <f>IF(E106=1,1,0)</f>
        <v/>
      </c>
      <c r="G106" s="12">
        <f>IF(AND(E106&lt;&gt;"",E106&lt;=5),1,0)</f>
        <v/>
      </c>
      <c r="H106" s="11" t="inlineStr">
        <is>
          <t>brand/claims-policy#cp-09</t>
        </is>
      </c>
      <c r="I106" s="11" t="inlineStr">
        <is>
          <t>research/insights-line-blueberry#evidence-by-theme-2</t>
        </is>
      </c>
      <c r="J106" s="11" t="inlineStr">
        <is>
          <t>research/insights-P436359#evidence-by-theme-2</t>
        </is>
      </c>
      <c r="K106" s="11" t="inlineStr">
        <is>
          <t>brand/claims-policy#cp-04</t>
        </is>
      </c>
    </row>
    <row r="107">
      <c r="A107" s="5" t="inlineStr">
        <is>
          <t>V26</t>
        </is>
      </c>
      <c r="B107" s="5" t="inlineStr">
        <is>
          <t>Compliance</t>
        </is>
      </c>
      <c r="C107" s="5" t="inlineStr">
        <is>
          <t>Không dấu</t>
        </is>
      </c>
      <c r="D107" s="11" t="inlineStr">
        <is>
          <t>Co duoc noi san pham co huong lieu phu hop da nhay cam khong?</t>
        </is>
      </c>
      <c r="E107" s="12" t="n"/>
      <c r="F107" s="12">
        <f>IF(E107=1,1,0)</f>
        <v/>
      </c>
      <c r="G107" s="12">
        <f>IF(AND(E107&lt;&gt;"",E107&lt;=5),1,0)</f>
        <v/>
      </c>
      <c r="H107" s="11" t="inlineStr">
        <is>
          <t>brand/claims-policy#cp-09</t>
        </is>
      </c>
      <c r="I107" s="11" t="inlineStr">
        <is>
          <t>sop/influencer-brief#product-specific-notes-from-customer-research</t>
        </is>
      </c>
      <c r="J107" s="11" t="inlineStr">
        <is>
          <t>research/insights-line-blueberry#evidence-by-theme-2</t>
        </is>
      </c>
      <c r="K107" s="11" t="inlineStr">
        <is>
          <t>sop/ad-claim-review#self-check-checklist</t>
        </is>
      </c>
    </row>
    <row r="108">
      <c r="A108" s="5" t="inlineStr">
        <is>
          <t>V26</t>
        </is>
      </c>
      <c r="B108" s="5" t="inlineStr">
        <is>
          <t>Compliance</t>
        </is>
      </c>
      <c r="C108" s="5" t="inlineStr">
        <is>
          <t>Kiểu chat</t>
        </is>
      </c>
      <c r="D108" s="11" t="inlineStr">
        <is>
          <t>sp co mui ma ghi hop da nhay cam dc ko</t>
        </is>
      </c>
      <c r="E108" s="12" t="n"/>
      <c r="F108" s="12">
        <f>IF(E108=1,1,0)</f>
        <v/>
      </c>
      <c r="G108" s="12">
        <f>IF(AND(E108&lt;&gt;"",E108&lt;=5),1,0)</f>
        <v/>
      </c>
      <c r="H108" s="11" t="inlineStr">
        <is>
          <t>brand/claims-policy#cp-09</t>
        </is>
      </c>
      <c r="I108" s="11" t="inlineStr">
        <is>
          <t>sop/influencer-brief#product-specific-notes-from-customer-research</t>
        </is>
      </c>
      <c r="J108" s="11" t="inlineStr">
        <is>
          <t>research/insights-line-blueberry#evidence-by-theme-2</t>
        </is>
      </c>
      <c r="K108" s="11" t="inlineStr">
        <is>
          <t>research/insights-P436359#evidence-by-theme-2</t>
        </is>
      </c>
    </row>
    <row r="109">
      <c r="A109" s="5" t="inlineStr">
        <is>
          <t>V27</t>
        </is>
      </c>
      <c r="B109" s="5" t="inlineStr">
        <is>
          <t>Compliance</t>
        </is>
      </c>
      <c r="C109" s="5" t="inlineStr">
        <is>
          <t>Tiếng Anh</t>
        </is>
      </c>
      <c r="D109" s="11" t="inlineStr">
        <is>
          <t>What AHA concentration and pH does FDA recommend?</t>
        </is>
      </c>
      <c r="E109" s="12" t="n">
        <v>1</v>
      </c>
      <c r="F109" s="12">
        <f>IF(E109=1,1,0)</f>
        <v/>
      </c>
      <c r="G109" s="12">
        <f>IF(AND(E109&lt;&gt;"",E109&lt;=5),1,0)</f>
        <v/>
      </c>
      <c r="H109" s="11" t="inlineStr">
        <is>
          <t>compliance/fda-aha-labeling#other-recommendations</t>
        </is>
      </c>
      <c r="I109" s="11" t="inlineStr">
        <is>
          <t>compliance/fda-aha-labeling#other-recommendations</t>
        </is>
      </c>
      <c r="J109" s="11" t="inlineStr">
        <is>
          <t>compliance/fda-aha-labeling#glow-recipe-products-containing-ahas-from-ingredient-lists-i</t>
        </is>
      </c>
      <c r="K109" s="11" t="inlineStr">
        <is>
          <t>compliance/fda-aha-labeling#recommended-label-statement-verbatim</t>
        </is>
      </c>
    </row>
    <row r="110">
      <c r="A110" s="5" t="inlineStr">
        <is>
          <t>V27</t>
        </is>
      </c>
      <c r="B110" s="5" t="inlineStr">
        <is>
          <t>Compliance</t>
        </is>
      </c>
      <c r="C110" s="5" t="inlineStr">
        <is>
          <t>Tiếng Việt có dấu</t>
        </is>
      </c>
      <c r="D110" s="11" t="inlineStr">
        <is>
          <t>FDA khuyến nghị nồng độ AHA và độ pH bao nhiêu?</t>
        </is>
      </c>
      <c r="E110" s="12" t="n">
        <v>1</v>
      </c>
      <c r="F110" s="12">
        <f>IF(E110=1,1,0)</f>
        <v/>
      </c>
      <c r="G110" s="12">
        <f>IF(AND(E110&lt;&gt;"",E110&lt;=5),1,0)</f>
        <v/>
      </c>
      <c r="H110" s="11" t="inlineStr">
        <is>
          <t>compliance/fda-aha-labeling#other-recommendations</t>
        </is>
      </c>
      <c r="I110" s="11" t="inlineStr">
        <is>
          <t>compliance/fda-aha-labeling#other-recommendations</t>
        </is>
      </c>
      <c r="J110" s="11" t="inlineStr">
        <is>
          <t>brand/claims-policy#cp-04</t>
        </is>
      </c>
      <c r="K110" s="11" t="inlineStr">
        <is>
          <t>compliance/fda-aha-labeling#glow-recipe-products-containing-ahas-from-ingredient-lists-i</t>
        </is>
      </c>
    </row>
    <row r="111">
      <c r="A111" s="5" t="inlineStr">
        <is>
          <t>V27</t>
        </is>
      </c>
      <c r="B111" s="5" t="inlineStr">
        <is>
          <t>Compliance</t>
        </is>
      </c>
      <c r="C111" s="5" t="inlineStr">
        <is>
          <t>Không dấu</t>
        </is>
      </c>
      <c r="D111" s="11" t="inlineStr">
        <is>
          <t>FDA khuyen nghi nong do AHA va do pH bao nhieu?</t>
        </is>
      </c>
      <c r="E111" s="12" t="n">
        <v>1</v>
      </c>
      <c r="F111" s="12">
        <f>IF(E111=1,1,0)</f>
        <v/>
      </c>
      <c r="G111" s="12">
        <f>IF(AND(E111&lt;&gt;"",E111&lt;=5),1,0)</f>
        <v/>
      </c>
      <c r="H111" s="11" t="inlineStr">
        <is>
          <t>compliance/fda-aha-labeling#other-recommendations</t>
        </is>
      </c>
      <c r="I111" s="11" t="inlineStr">
        <is>
          <t>compliance/fda-aha-labeling#other-recommendations</t>
        </is>
      </c>
      <c r="J111" s="11" t="inlineStr">
        <is>
          <t>brand/claims-policy#cp-04</t>
        </is>
      </c>
      <c r="K111" s="11" t="inlineStr">
        <is>
          <t>compliance/fda-aha-labeling#glow-recipe-products-containing-ahas-from-ingredient-lists-i</t>
        </is>
      </c>
    </row>
    <row r="112">
      <c r="A112" s="5" t="inlineStr">
        <is>
          <t>V27</t>
        </is>
      </c>
      <c r="B112" s="5" t="inlineStr">
        <is>
          <t>Compliance</t>
        </is>
      </c>
      <c r="C112" s="5" t="inlineStr">
        <is>
          <t>Kiểu chat</t>
        </is>
      </c>
      <c r="D112" s="11" t="inlineStr">
        <is>
          <t>fda noi aha bao nhieu % ph bao nhieu</t>
        </is>
      </c>
      <c r="E112" s="12" t="n">
        <v>1</v>
      </c>
      <c r="F112" s="12">
        <f>IF(E112=1,1,0)</f>
        <v/>
      </c>
      <c r="G112" s="12">
        <f>IF(AND(E112&lt;&gt;"",E112&lt;=5),1,0)</f>
        <v/>
      </c>
      <c r="H112" s="11" t="inlineStr">
        <is>
          <t>compliance/fda-aha-labeling#other-recommendations</t>
        </is>
      </c>
      <c r="I112" s="11" t="inlineStr">
        <is>
          <t>compliance/fda-aha-labeling#other-recommendations</t>
        </is>
      </c>
      <c r="J112" s="11" t="inlineStr">
        <is>
          <t>brand/claims-policy#cp-04</t>
        </is>
      </c>
      <c r="K112" s="11" t="inlineStr">
        <is>
          <t>compliance/fda-aha-labeling#glow-recipe-products-containing-ahas-from-ingredient-lists-i</t>
        </is>
      </c>
    </row>
    <row r="113">
      <c r="A113" s="5" t="inlineStr">
        <is>
          <t>V28</t>
        </is>
      </c>
      <c r="B113" s="5" t="inlineStr">
        <is>
          <t>Compliance</t>
        </is>
      </c>
      <c r="C113" s="5" t="inlineStr">
        <is>
          <t>Tiếng Anh</t>
        </is>
      </c>
      <c r="D113" s="11" t="inlineStr">
        <is>
          <t>What counts as a serious adverse event under MoCRA?</t>
        </is>
      </c>
      <c r="E113" s="12" t="n">
        <v>2</v>
      </c>
      <c r="F113" s="12">
        <f>IF(E113=1,1,0)</f>
        <v/>
      </c>
      <c r="G113" s="12">
        <f>IF(AND(E113&lt;&gt;"",E113&lt;=5),1,0)</f>
        <v/>
      </c>
      <c r="H113" s="11" t="inlineStr">
        <is>
          <t>compliance/fda-mocra-adverse-events#what-counts-as-serious
sop/adverse-event-escalation#steps</t>
        </is>
      </c>
      <c r="I113" s="11" t="inlineStr">
        <is>
          <t>compliance/fda-mocra-adverse-events#overview</t>
        </is>
      </c>
      <c r="J113" s="11" t="inlineStr">
        <is>
          <t>compliance/fda-mocra-adverse-events#what-counts-as-serious</t>
        </is>
      </c>
      <c r="K113" s="11" t="inlineStr">
        <is>
          <t>compliance/fda-mocra-adverse-events#reporting-duty</t>
        </is>
      </c>
    </row>
    <row r="114">
      <c r="A114" s="5" t="inlineStr">
        <is>
          <t>V28</t>
        </is>
      </c>
      <c r="B114" s="5" t="inlineStr">
        <is>
          <t>Compliance</t>
        </is>
      </c>
      <c r="C114" s="5" t="inlineStr">
        <is>
          <t>Tiếng Việt có dấu</t>
        </is>
      </c>
      <c r="D114" s="11" t="inlineStr">
        <is>
          <t>Theo MoCRA, thế nào là phản ứng phụ nghiêm trọng?</t>
        </is>
      </c>
      <c r="E114" s="12" t="n">
        <v>1</v>
      </c>
      <c r="F114" s="12">
        <f>IF(E114=1,1,0)</f>
        <v/>
      </c>
      <c r="G114" s="12">
        <f>IF(AND(E114&lt;&gt;"",E114&lt;=5),1,0)</f>
        <v/>
      </c>
      <c r="H114" s="11" t="inlineStr">
        <is>
          <t>compliance/fda-mocra-adverse-events#what-counts-as-serious
sop/adverse-event-escalation#steps</t>
        </is>
      </c>
      <c r="I114" s="11" t="inlineStr">
        <is>
          <t>compliance/fda-mocra-adverse-events#what-counts-as-serious</t>
        </is>
      </c>
      <c r="J114" s="11" t="inlineStr">
        <is>
          <t>compliance/fda-mocra-adverse-events#relevance-to-this-knowledge-base</t>
        </is>
      </c>
      <c r="K114" s="11" t="inlineStr">
        <is>
          <t>compliance/fda-mocra-adverse-events#overview</t>
        </is>
      </c>
    </row>
    <row r="115">
      <c r="A115" s="5" t="inlineStr">
        <is>
          <t>V28</t>
        </is>
      </c>
      <c r="B115" s="5" t="inlineStr">
        <is>
          <t>Compliance</t>
        </is>
      </c>
      <c r="C115" s="5" t="inlineStr">
        <is>
          <t>Không dấu</t>
        </is>
      </c>
      <c r="D115" s="11" t="inlineStr">
        <is>
          <t>Theo MoCRA, the nao la phan ung phu nghiem trong?</t>
        </is>
      </c>
      <c r="E115" s="12" t="n">
        <v>3</v>
      </c>
      <c r="F115" s="12">
        <f>IF(E115=1,1,0)</f>
        <v/>
      </c>
      <c r="G115" s="12">
        <f>IF(AND(E115&lt;&gt;"",E115&lt;=5),1,0)</f>
        <v/>
      </c>
      <c r="H115" s="11" t="inlineStr">
        <is>
          <t>compliance/fda-mocra-adverse-events#what-counts-as-serious
sop/adverse-event-escalation#steps</t>
        </is>
      </c>
      <c r="I115" s="11" t="inlineStr">
        <is>
          <t>compliance/fda-mocra-adverse-events#overview</t>
        </is>
      </c>
      <c r="J115" s="11" t="inlineStr">
        <is>
          <t>compliance/fda-mocra-adverse-events#relevance-to-this-knowledge-base</t>
        </is>
      </c>
      <c r="K115" s="11" t="inlineStr">
        <is>
          <t>compliance/fda-mocra-adverse-events#what-counts-as-serious</t>
        </is>
      </c>
    </row>
    <row r="116">
      <c r="A116" s="5" t="inlineStr">
        <is>
          <t>V28</t>
        </is>
      </c>
      <c r="B116" s="5" t="inlineStr">
        <is>
          <t>Compliance</t>
        </is>
      </c>
      <c r="C116" s="5" t="inlineStr">
        <is>
          <t>Kiểu chat</t>
        </is>
      </c>
      <c r="D116" s="11" t="inlineStr">
        <is>
          <t>the nao la phan ung nghiem trong theo mocra</t>
        </is>
      </c>
      <c r="E116" s="12" t="n">
        <v>2</v>
      </c>
      <c r="F116" s="12">
        <f>IF(E116=1,1,0)</f>
        <v/>
      </c>
      <c r="G116" s="12">
        <f>IF(AND(E116&lt;&gt;"",E116&lt;=5),1,0)</f>
        <v/>
      </c>
      <c r="H116" s="11" t="inlineStr">
        <is>
          <t>compliance/fda-mocra-adverse-events#what-counts-as-serious
sop/adverse-event-escalation#steps</t>
        </is>
      </c>
      <c r="I116" s="11" t="inlineStr">
        <is>
          <t>compliance/fda-mocra-adverse-events#overview</t>
        </is>
      </c>
      <c r="J116" s="11" t="inlineStr">
        <is>
          <t>compliance/fda-mocra-adverse-events#what-counts-as-serious</t>
        </is>
      </c>
      <c r="K116" s="11" t="inlineStr">
        <is>
          <t>compliance/fda-mocra-adverse-events#relevance-to-this-knowledge-base</t>
        </is>
      </c>
    </row>
    <row r="117">
      <c r="A117" s="5" t="inlineStr">
        <is>
          <t>V29</t>
        </is>
      </c>
      <c r="B117" s="5" t="inlineStr">
        <is>
          <t>Compliance</t>
        </is>
      </c>
      <c r="C117" s="5" t="inlineStr">
        <is>
          <t>Tiếng Anh</t>
        </is>
      </c>
      <c r="D117" s="11" t="inlineStr">
        <is>
          <t>Do influencers need to disclose in every post or just once?</t>
        </is>
      </c>
      <c r="E117" s="12" t="n">
        <v>1</v>
      </c>
      <c r="F117" s="12">
        <f>IF(E117=1,1,0)</f>
        <v/>
      </c>
      <c r="G117" s="12">
        <f>IF(AND(E117&lt;&gt;"",E117&lt;=5),1,0)</f>
        <v/>
      </c>
      <c r="H117" s="11" t="inlineStr">
        <is>
          <t>compliance/ftc-endorsement-guides#when-a-disclosure-is-required
brand/claims-policy#cp-10
sop/influencer-brief#mandatory-brief-sections</t>
        </is>
      </c>
      <c r="I117" s="11" t="inlineStr">
        <is>
          <t>compliance/ftc-endorsement-guides#when-a-disclosure-is-required</t>
        </is>
      </c>
      <c r="J117" s="11" t="inlineStr">
        <is>
          <t>brand/claims-policy#cp-10</t>
        </is>
      </c>
      <c r="K117" s="11" t="inlineStr">
        <is>
          <t>sop/influencer-brief#mandatory-brief-sections</t>
        </is>
      </c>
    </row>
    <row r="118">
      <c r="A118" s="5" t="inlineStr">
        <is>
          <t>V29</t>
        </is>
      </c>
      <c r="B118" s="5" t="inlineStr">
        <is>
          <t>Compliance</t>
        </is>
      </c>
      <c r="C118" s="5" t="inlineStr">
        <is>
          <t>Tiếng Việt có dấu</t>
        </is>
      </c>
      <c r="D118" s="11" t="inlineStr">
        <is>
          <t>Influencer phải ghi chú quảng cáo ở mọi bài hay chỉ một lần?</t>
        </is>
      </c>
      <c r="E118" s="12" t="n">
        <v>1</v>
      </c>
      <c r="F118" s="12">
        <f>IF(E118=1,1,0)</f>
        <v/>
      </c>
      <c r="G118" s="12">
        <f>IF(AND(E118&lt;&gt;"",E118&lt;=5),1,0)</f>
        <v/>
      </c>
      <c r="H118" s="11" t="inlineStr">
        <is>
          <t>compliance/ftc-endorsement-guides#when-a-disclosure-is-required
brand/claims-policy#cp-10
sop/influencer-brief#mandatory-brief-sections</t>
        </is>
      </c>
      <c r="I118" s="11" t="inlineStr">
        <is>
          <t>brand/claims-policy#cp-10</t>
        </is>
      </c>
      <c r="J118" s="11" t="inlineStr">
        <is>
          <t>compliance/ftc-endorsement-guides#when-a-disclosure-is-required</t>
        </is>
      </c>
      <c r="K118" s="11" t="inlineStr">
        <is>
          <t>brand/claims-policy#overview</t>
        </is>
      </c>
    </row>
    <row r="119">
      <c r="A119" s="5" t="inlineStr">
        <is>
          <t>V29</t>
        </is>
      </c>
      <c r="B119" s="5" t="inlineStr">
        <is>
          <t>Compliance</t>
        </is>
      </c>
      <c r="C119" s="5" t="inlineStr">
        <is>
          <t>Không dấu</t>
        </is>
      </c>
      <c r="D119" s="11" t="inlineStr">
        <is>
          <t>Influencer phai ghi chu quang cao o moi bai hay chi mot lan?</t>
        </is>
      </c>
      <c r="E119" s="12" t="n">
        <v>1</v>
      </c>
      <c r="F119" s="12">
        <f>IF(E119=1,1,0)</f>
        <v/>
      </c>
      <c r="G119" s="12">
        <f>IF(AND(E119&lt;&gt;"",E119&lt;=5),1,0)</f>
        <v/>
      </c>
      <c r="H119" s="11" t="inlineStr">
        <is>
          <t>compliance/ftc-endorsement-guides#when-a-disclosure-is-required
brand/claims-policy#cp-10
sop/influencer-brief#mandatory-brief-sections</t>
        </is>
      </c>
      <c r="I119" s="11" t="inlineStr">
        <is>
          <t>sop/influencer-brief#mandatory-brief-sections</t>
        </is>
      </c>
      <c r="J119" s="11" t="inlineStr">
        <is>
          <t>brand/claims-policy#cp-10</t>
        </is>
      </c>
      <c r="K119" s="11" t="inlineStr">
        <is>
          <t>compliance/ftc-endorsement-guides#when-a-disclosure-is-required</t>
        </is>
      </c>
    </row>
    <row r="120">
      <c r="A120" s="5" t="inlineStr">
        <is>
          <t>V29</t>
        </is>
      </c>
      <c r="B120" s="5" t="inlineStr">
        <is>
          <t>Compliance</t>
        </is>
      </c>
      <c r="C120" s="5" t="inlineStr">
        <is>
          <t>Kiểu chat</t>
        </is>
      </c>
      <c r="D120" s="11" t="inlineStr">
        <is>
          <t>kol co can ghi #ad moi bai ko</t>
        </is>
      </c>
      <c r="E120" s="12" t="n">
        <v>1</v>
      </c>
      <c r="F120" s="12">
        <f>IF(E120=1,1,0)</f>
        <v/>
      </c>
      <c r="G120" s="12">
        <f>IF(AND(E120&lt;&gt;"",E120&lt;=5),1,0)</f>
        <v/>
      </c>
      <c r="H120" s="11" t="inlineStr">
        <is>
          <t>compliance/ftc-endorsement-guides#when-a-disclosure-is-required
brand/claims-policy#cp-10
sop/influencer-brief#mandatory-brief-sections</t>
        </is>
      </c>
      <c r="I120" s="11" t="inlineStr">
        <is>
          <t>sop/influencer-brief#mandatory-brief-sections</t>
        </is>
      </c>
      <c r="J120" s="11" t="inlineStr">
        <is>
          <t>brand/claims-policy#cp-10</t>
        </is>
      </c>
      <c r="K120" s="11" t="inlineStr">
        <is>
          <t>creative/learnings-2023#open-questions-and-data-gaps</t>
        </is>
      </c>
    </row>
    <row r="121">
      <c r="A121" s="5" t="inlineStr">
        <is>
          <t>V30</t>
        </is>
      </c>
      <c r="B121" s="5" t="inlineStr">
        <is>
          <t>Compliance</t>
        </is>
      </c>
      <c r="C121" s="5" t="inlineStr">
        <is>
          <t>Tiếng Anh</t>
        </is>
      </c>
      <c r="D121" s="11" t="inlineStr">
        <is>
          <t>Can we only ask happy customers to leave reviews?</t>
        </is>
      </c>
      <c r="E121" s="12" t="n">
        <v>1</v>
      </c>
      <c r="F121" s="12">
        <f>IF(E121=1,1,0)</f>
        <v/>
      </c>
      <c r="G121" s="12">
        <f>IF(AND(E121&lt;&gt;"",E121&lt;=5),1,0)</f>
        <v/>
      </c>
      <c r="H121" s="11" t="inlineStr">
        <is>
          <t>compliance/ftc-endorsement-guides#reviews
brand/claims-policy#cp-07</t>
        </is>
      </c>
      <c r="I121" s="11" t="inlineStr">
        <is>
          <t>compliance/ftc-endorsement-guides#reviews</t>
        </is>
      </c>
      <c r="J121" s="11" t="inlineStr">
        <is>
          <t>sop/review-response#principles</t>
        </is>
      </c>
      <c r="K121" s="11" t="inlineStr">
        <is>
          <t>brand/claims-policy#cp-07</t>
        </is>
      </c>
    </row>
    <row r="122">
      <c r="A122" s="5" t="inlineStr">
        <is>
          <t>V30</t>
        </is>
      </c>
      <c r="B122" s="5" t="inlineStr">
        <is>
          <t>Compliance</t>
        </is>
      </c>
      <c r="C122" s="5" t="inlineStr">
        <is>
          <t>Tiếng Việt có dấu</t>
        </is>
      </c>
      <c r="D122" s="11" t="inlineStr">
        <is>
          <t>Có được chỉ mời khách hài lòng để lại review không?</t>
        </is>
      </c>
      <c r="E122" s="12" t="n">
        <v>1</v>
      </c>
      <c r="F122" s="12">
        <f>IF(E122=1,1,0)</f>
        <v/>
      </c>
      <c r="G122" s="12">
        <f>IF(AND(E122&lt;&gt;"",E122&lt;=5),1,0)</f>
        <v/>
      </c>
      <c r="H122" s="11" t="inlineStr">
        <is>
          <t>compliance/ftc-endorsement-guides#reviews
brand/claims-policy#cp-07</t>
        </is>
      </c>
      <c r="I122" s="11" t="inlineStr">
        <is>
          <t>compliance/ftc-endorsement-guides#reviews</t>
        </is>
      </c>
      <c r="J122" s="11" t="inlineStr">
        <is>
          <t>brand/claims-policy#cp-07</t>
        </is>
      </c>
      <c r="K122" s="11" t="inlineStr">
        <is>
          <t>research/insights-line-watermelon#evidence-by-theme</t>
        </is>
      </c>
    </row>
    <row r="123">
      <c r="A123" s="5" t="inlineStr">
        <is>
          <t>V30</t>
        </is>
      </c>
      <c r="B123" s="5" t="inlineStr">
        <is>
          <t>Compliance</t>
        </is>
      </c>
      <c r="C123" s="5" t="inlineStr">
        <is>
          <t>Không dấu</t>
        </is>
      </c>
      <c r="D123" s="11" t="inlineStr">
        <is>
          <t>Co duoc chi moi khach hai long de lai review khong?</t>
        </is>
      </c>
      <c r="E123" s="12" t="n">
        <v>9</v>
      </c>
      <c r="F123" s="12">
        <f>IF(E123=1,1,0)</f>
        <v/>
      </c>
      <c r="G123" s="12">
        <f>IF(AND(E123&lt;&gt;"",E123&lt;=5),1,0)</f>
        <v/>
      </c>
      <c r="H123" s="11" t="inlineStr">
        <is>
          <t>compliance/ftc-endorsement-guides#reviews
brand/claims-policy#cp-07</t>
        </is>
      </c>
      <c r="I123" s="11" t="inlineStr">
        <is>
          <t>compliance/ftc-health-claims#practical-implications-knowledge-base-s-reading</t>
        </is>
      </c>
      <c r="J123" s="11" t="inlineStr">
        <is>
          <t>product/P501254#ingredients</t>
        </is>
      </c>
      <c r="K123" s="11" t="inlineStr">
        <is>
          <t>product/P472468#ingredients</t>
        </is>
      </c>
    </row>
    <row r="124">
      <c r="A124" s="5" t="inlineStr">
        <is>
          <t>V30</t>
        </is>
      </c>
      <c r="B124" s="5" t="inlineStr">
        <is>
          <t>Compliance</t>
        </is>
      </c>
      <c r="C124" s="5" t="inlineStr">
        <is>
          <t>Kiểu chat</t>
        </is>
      </c>
      <c r="D124" s="11" t="inlineStr">
        <is>
          <t>chi xin review khach vui dc ko</t>
        </is>
      </c>
      <c r="E124" s="12" t="n">
        <v>1</v>
      </c>
      <c r="F124" s="12">
        <f>IF(E124=1,1,0)</f>
        <v/>
      </c>
      <c r="G124" s="12">
        <f>IF(AND(E124&lt;&gt;"",E124&lt;=5),1,0)</f>
        <v/>
      </c>
      <c r="H124" s="11" t="inlineStr">
        <is>
          <t>compliance/ftc-endorsement-guides#reviews
brand/claims-policy#cp-07</t>
        </is>
      </c>
      <c r="I124" s="11" t="inlineStr">
        <is>
          <t>compliance/ftc-endorsement-guides#reviews</t>
        </is>
      </c>
      <c r="J124" s="11" t="inlineStr">
        <is>
          <t>research/insights-P482535#how-to-read-this</t>
        </is>
      </c>
      <c r="K124" s="11" t="inlineStr">
        <is>
          <t>brand/claims-policy#cp-07</t>
        </is>
      </c>
    </row>
    <row r="125">
      <c r="A125" s="5" t="inlineStr">
        <is>
          <t>V31</t>
        </is>
      </c>
      <c r="B125" s="5" t="inlineStr">
        <is>
          <t>Compliance</t>
        </is>
      </c>
      <c r="C125" s="5" t="inlineStr">
        <is>
          <t>Tiếng Anh</t>
        </is>
      </c>
      <c r="D125" s="11" t="inlineStr">
        <is>
          <t>What does net impression mean in the FTC guidance?</t>
        </is>
      </c>
      <c r="E125" s="12" t="n">
        <v>1</v>
      </c>
      <c r="F125" s="12">
        <f>IF(E125=1,1,0)</f>
        <v/>
      </c>
      <c r="G125" s="12">
        <f>IF(AND(E125&lt;&gt;"",E125&lt;=5),1,0)</f>
        <v/>
      </c>
      <c r="H125" s="11" t="inlineStr">
        <is>
          <t>compliance/ftc-health-claims#3-net-impression</t>
        </is>
      </c>
      <c r="I125" s="11" t="inlineStr">
        <is>
          <t>compliance/ftc-health-claims#3-net-impression</t>
        </is>
      </c>
      <c r="J125" s="11" t="inlineStr">
        <is>
          <t>compliance/ftc-health-claims#practical-implications-knowledge-base-s-reading</t>
        </is>
      </c>
      <c r="K125" s="11" t="inlineStr">
        <is>
          <t>compliance/ftc-health-claims#2-express-and-implied-claims-both-count</t>
        </is>
      </c>
    </row>
    <row r="126">
      <c r="A126" s="5" t="inlineStr">
        <is>
          <t>V31</t>
        </is>
      </c>
      <c r="B126" s="5" t="inlineStr">
        <is>
          <t>Compliance</t>
        </is>
      </c>
      <c r="C126" s="5" t="inlineStr">
        <is>
          <t>Tiếng Việt có dấu</t>
        </is>
      </c>
      <c r="D126" s="11" t="inlineStr">
        <is>
          <t>'Net impression' trong hướng dẫn FTC nghĩa là gì?</t>
        </is>
      </c>
      <c r="E126" s="12" t="n">
        <v>1</v>
      </c>
      <c r="F126" s="12">
        <f>IF(E126=1,1,0)</f>
        <v/>
      </c>
      <c r="G126" s="12">
        <f>IF(AND(E126&lt;&gt;"",E126&lt;=5),1,0)</f>
        <v/>
      </c>
      <c r="H126" s="11" t="inlineStr">
        <is>
          <t>compliance/ftc-health-claims#3-net-impression</t>
        </is>
      </c>
      <c r="I126" s="11" t="inlineStr">
        <is>
          <t>compliance/ftc-health-claims#3-net-impression</t>
        </is>
      </c>
      <c r="J126" s="11" t="inlineStr">
        <is>
          <t>brand/claims-policy#cp-07</t>
        </is>
      </c>
      <c r="K126" s="11" t="inlineStr">
        <is>
          <t>creative/learnings-2023#how-to-read-this</t>
        </is>
      </c>
    </row>
    <row r="127">
      <c r="A127" s="5" t="inlineStr">
        <is>
          <t>V31</t>
        </is>
      </c>
      <c r="B127" s="5" t="inlineStr">
        <is>
          <t>Compliance</t>
        </is>
      </c>
      <c r="C127" s="5" t="inlineStr">
        <is>
          <t>Không dấu</t>
        </is>
      </c>
      <c r="D127" s="11" t="inlineStr">
        <is>
          <t>'Net impression' trong huong dan FTC nghia la gi?</t>
        </is>
      </c>
      <c r="E127" s="12" t="n">
        <v>1</v>
      </c>
      <c r="F127" s="12">
        <f>IF(E127=1,1,0)</f>
        <v/>
      </c>
      <c r="G127" s="12">
        <f>IF(AND(E127&lt;&gt;"",E127&lt;=5),1,0)</f>
        <v/>
      </c>
      <c r="H127" s="11" t="inlineStr">
        <is>
          <t>compliance/ftc-health-claims#3-net-impression</t>
        </is>
      </c>
      <c r="I127" s="11" t="inlineStr">
        <is>
          <t>compliance/ftc-health-claims#3-net-impression</t>
        </is>
      </c>
      <c r="J127" s="11" t="inlineStr">
        <is>
          <t>compliance/ftc-health-claims#practical-implications-knowledge-base-s-reading</t>
        </is>
      </c>
      <c r="K127" s="11" t="inlineStr">
        <is>
          <t>creative/learnings-2023#how-to-read-this</t>
        </is>
      </c>
    </row>
    <row r="128">
      <c r="A128" s="5" t="inlineStr">
        <is>
          <t>V31</t>
        </is>
      </c>
      <c r="B128" s="5" t="inlineStr">
        <is>
          <t>Compliance</t>
        </is>
      </c>
      <c r="C128" s="5" t="inlineStr">
        <is>
          <t>Kiểu chat</t>
        </is>
      </c>
      <c r="D128" s="11" t="inlineStr">
        <is>
          <t>net impression la gi</t>
        </is>
      </c>
      <c r="E128" s="12" t="n">
        <v>1</v>
      </c>
      <c r="F128" s="12">
        <f>IF(E128=1,1,0)</f>
        <v/>
      </c>
      <c r="G128" s="12">
        <f>IF(AND(E128&lt;&gt;"",E128&lt;=5),1,0)</f>
        <v/>
      </c>
      <c r="H128" s="11" t="inlineStr">
        <is>
          <t>compliance/ftc-health-claims#3-net-impression</t>
        </is>
      </c>
      <c r="I128" s="11" t="inlineStr">
        <is>
          <t>compliance/ftc-health-claims#3-net-impression</t>
        </is>
      </c>
      <c r="J128" s="11" t="inlineStr">
        <is>
          <t>research/insights-P501760#how-to-read-this</t>
        </is>
      </c>
      <c r="K128" s="11" t="inlineStr">
        <is>
          <t>creative/learnings-2023#how-to-read-this</t>
        </is>
      </c>
    </row>
    <row r="129">
      <c r="A129" s="5" t="inlineStr">
        <is>
          <t>V32</t>
        </is>
      </c>
      <c r="B129" s="5" t="inlineStr">
        <is>
          <t>SOP</t>
        </is>
      </c>
      <c r="C129" s="5" t="inlineStr">
        <is>
          <t>Tiếng Anh</t>
        </is>
      </c>
      <c r="D129" s="11" t="inlineStr">
        <is>
          <t>Who approves claims that need regulatory review?</t>
        </is>
      </c>
      <c r="E129" s="12" t="n">
        <v>1</v>
      </c>
      <c r="F129" s="12">
        <f>IF(E129=1,1,0)</f>
        <v/>
      </c>
      <c r="G129" s="12">
        <f>IF(AND(E129&lt;&gt;"",E129&lt;=5),1,0)</f>
        <v/>
      </c>
      <c r="H129" s="11" t="inlineStr">
        <is>
          <t>sop/ad-claim-review#roles
sop/ad-claim-review#steps</t>
        </is>
      </c>
      <c r="I129" s="11" t="inlineStr">
        <is>
          <t>sop/ad-claim-review#steps</t>
        </is>
      </c>
      <c r="J129" s="11" t="inlineStr">
        <is>
          <t>sop/ad-claim-review#roles</t>
        </is>
      </c>
      <c r="K129" s="11" t="inlineStr">
        <is>
          <t>sop/ad-claim-review#claims-register-status-as-of-2023-04-01</t>
        </is>
      </c>
    </row>
    <row r="130">
      <c r="A130" s="5" t="inlineStr">
        <is>
          <t>V32</t>
        </is>
      </c>
      <c r="B130" s="5" t="inlineStr">
        <is>
          <t>SOP</t>
        </is>
      </c>
      <c r="C130" s="5" t="inlineStr">
        <is>
          <t>Tiếng Việt có dấu</t>
        </is>
      </c>
      <c r="D130" s="11" t="inlineStr">
        <is>
          <t>Ai duyệt các claim cần Regulatory xem xét?</t>
        </is>
      </c>
      <c r="E130" s="12" t="n">
        <v>2</v>
      </c>
      <c r="F130" s="12">
        <f>IF(E130=1,1,0)</f>
        <v/>
      </c>
      <c r="G130" s="12">
        <f>IF(AND(E130&lt;&gt;"",E130&lt;=5),1,0)</f>
        <v/>
      </c>
      <c r="H130" s="11" t="inlineStr">
        <is>
          <t>sop/ad-claim-review#roles
sop/ad-claim-review#steps</t>
        </is>
      </c>
      <c r="I130" s="11" t="inlineStr">
        <is>
          <t>brand/claims-policy#overview</t>
        </is>
      </c>
      <c r="J130" s="11" t="inlineStr">
        <is>
          <t>sop/ad-claim-review#steps</t>
        </is>
      </c>
      <c r="K130" s="11" t="inlineStr">
        <is>
          <t>sop/ad-claim-review#claims-register-status-as-of-2023-04-01</t>
        </is>
      </c>
    </row>
    <row r="131">
      <c r="A131" s="5" t="inlineStr">
        <is>
          <t>V32</t>
        </is>
      </c>
      <c r="B131" s="5" t="inlineStr">
        <is>
          <t>SOP</t>
        </is>
      </c>
      <c r="C131" s="5" t="inlineStr">
        <is>
          <t>Không dấu</t>
        </is>
      </c>
      <c r="D131" s="11" t="inlineStr">
        <is>
          <t>Ai duyet cac claim can Regulatory xem xet?</t>
        </is>
      </c>
      <c r="E131" s="12" t="n">
        <v>2</v>
      </c>
      <c r="F131" s="12">
        <f>IF(E131=1,1,0)</f>
        <v/>
      </c>
      <c r="G131" s="12">
        <f>IF(AND(E131&lt;&gt;"",E131&lt;=5),1,0)</f>
        <v/>
      </c>
      <c r="H131" s="11" t="inlineStr">
        <is>
          <t>sop/ad-claim-review#roles
sop/ad-claim-review#steps</t>
        </is>
      </c>
      <c r="I131" s="11" t="inlineStr">
        <is>
          <t>sop/ad-claim-review#claims-register-status-as-of-2023-04-01</t>
        </is>
      </c>
      <c r="J131" s="11" t="inlineStr">
        <is>
          <t>sop/ad-claim-review#steps</t>
        </is>
      </c>
      <c r="K131" s="11" t="inlineStr">
        <is>
          <t>brand/claims-policy#overview</t>
        </is>
      </c>
    </row>
    <row r="132">
      <c r="A132" s="5" t="inlineStr">
        <is>
          <t>V32</t>
        </is>
      </c>
      <c r="B132" s="5" t="inlineStr">
        <is>
          <t>SOP</t>
        </is>
      </c>
      <c r="C132" s="5" t="inlineStr">
        <is>
          <t>Kiểu chat</t>
        </is>
      </c>
      <c r="D132" s="11" t="inlineStr">
        <is>
          <t>ai duyet claim regulatory</t>
        </is>
      </c>
      <c r="E132" s="12" t="n">
        <v>3</v>
      </c>
      <c r="F132" s="12">
        <f>IF(E132=1,1,0)</f>
        <v/>
      </c>
      <c r="G132" s="12">
        <f>IF(AND(E132&lt;&gt;"",E132&lt;=5),1,0)</f>
        <v/>
      </c>
      <c r="H132" s="11" t="inlineStr">
        <is>
          <t>sop/ad-claim-review#roles
sop/ad-claim-review#steps</t>
        </is>
      </c>
      <c r="I132" s="11" t="inlineStr">
        <is>
          <t>sop/ad-claim-review#claims-register-status-as-of-2023-04-01</t>
        </is>
      </c>
      <c r="J132" s="11" t="inlineStr">
        <is>
          <t>brand/claims-policy#overview</t>
        </is>
      </c>
      <c r="K132" s="11" t="inlineStr">
        <is>
          <t>sop/ad-claim-review#steps</t>
        </is>
      </c>
    </row>
    <row r="133">
      <c r="A133" s="5" t="inlineStr">
        <is>
          <t>V33</t>
        </is>
      </c>
      <c r="B133" s="5" t="inlineStr">
        <is>
          <t>SOP</t>
        </is>
      </c>
      <c r="C133" s="5" t="inlineStr">
        <is>
          <t>Tiếng Anh</t>
        </is>
      </c>
      <c r="D133" s="11" t="inlineStr">
        <is>
          <t>How many days before launch must paid social ads be approved?</t>
        </is>
      </c>
      <c r="E133" s="12" t="n">
        <v>1</v>
      </c>
      <c r="F133" s="12">
        <f>IF(E133=1,1,0)</f>
        <v/>
      </c>
      <c r="G133" s="12">
        <f>IF(AND(E133&lt;&gt;"",E133&lt;=5),1,0)</f>
        <v/>
      </c>
      <c r="H133" s="11" t="inlineStr">
        <is>
          <t>sop/ad-claim-review#steps</t>
        </is>
      </c>
      <c r="I133" s="11" t="inlineStr">
        <is>
          <t>sop/ad-claim-review#steps</t>
        </is>
      </c>
      <c r="J133" s="11" t="inlineStr">
        <is>
          <t>brand/claims-policy#cp-10</t>
        </is>
      </c>
      <c r="K133" s="11" t="inlineStr">
        <is>
          <t>creative/learnings-2023#open-questions-and-data-gaps</t>
        </is>
      </c>
    </row>
    <row r="134">
      <c r="A134" s="5" t="inlineStr">
        <is>
          <t>V33</t>
        </is>
      </c>
      <c r="B134" s="5" t="inlineStr">
        <is>
          <t>SOP</t>
        </is>
      </c>
      <c r="C134" s="5" t="inlineStr">
        <is>
          <t>Tiếng Việt có dấu</t>
        </is>
      </c>
      <c r="D134" s="11" t="inlineStr">
        <is>
          <t>Quảng cáo trả phí phải được duyệt trước ngày chạy bao lâu?</t>
        </is>
      </c>
      <c r="E134" s="12" t="n">
        <v>1</v>
      </c>
      <c r="F134" s="12">
        <f>IF(E134=1,1,0)</f>
        <v/>
      </c>
      <c r="G134" s="12">
        <f>IF(AND(E134&lt;&gt;"",E134&lt;=5),1,0)</f>
        <v/>
      </c>
      <c r="H134" s="11" t="inlineStr">
        <is>
          <t>sop/ad-claim-review#steps</t>
        </is>
      </c>
      <c r="I134" s="11" t="inlineStr">
        <is>
          <t>sop/ad-claim-review#steps</t>
        </is>
      </c>
      <c r="J134" s="11" t="inlineStr">
        <is>
          <t>compliance/ftc-endorsement-guides#brand-responsibilities</t>
        </is>
      </c>
      <c r="K134" s="11" t="inlineStr">
        <is>
          <t>brand/claims-policy#overview</t>
        </is>
      </c>
    </row>
    <row r="135">
      <c r="A135" s="5" t="inlineStr">
        <is>
          <t>V33</t>
        </is>
      </c>
      <c r="B135" s="5" t="inlineStr">
        <is>
          <t>SOP</t>
        </is>
      </c>
      <c r="C135" s="5" t="inlineStr">
        <is>
          <t>Không dấu</t>
        </is>
      </c>
      <c r="D135" s="11" t="inlineStr">
        <is>
          <t>Quang cao tra phi phai duoc duyet truoc ngay chay bao lau?</t>
        </is>
      </c>
      <c r="E135" s="12" t="n">
        <v>1</v>
      </c>
      <c r="F135" s="12">
        <f>IF(E135=1,1,0)</f>
        <v/>
      </c>
      <c r="G135" s="12">
        <f>IF(AND(E135&lt;&gt;"",E135&lt;=5),1,0)</f>
        <v/>
      </c>
      <c r="H135" s="11" t="inlineStr">
        <is>
          <t>sop/ad-claim-review#steps</t>
        </is>
      </c>
      <c r="I135" s="11" t="inlineStr">
        <is>
          <t>sop/ad-claim-review#steps</t>
        </is>
      </c>
      <c r="J135" s="11" t="inlineStr">
        <is>
          <t>creative/learnings-2023#ct-03</t>
        </is>
      </c>
      <c r="K135" s="11" t="inlineStr">
        <is>
          <t>sop/ad-claim-review#claims-register-status-as-of-2023-04-01</t>
        </is>
      </c>
    </row>
    <row r="136">
      <c r="A136" s="5" t="inlineStr">
        <is>
          <t>V33</t>
        </is>
      </c>
      <c r="B136" s="5" t="inlineStr">
        <is>
          <t>SOP</t>
        </is>
      </c>
      <c r="C136" s="5" t="inlineStr">
        <is>
          <t>Kiểu chat</t>
        </is>
      </c>
      <c r="D136" s="11" t="inlineStr">
        <is>
          <t>ads phai duyet truoc may ngay</t>
        </is>
      </c>
      <c r="E136" s="12" t="n">
        <v>5</v>
      </c>
      <c r="F136" s="12">
        <f>IF(E136=1,1,0)</f>
        <v/>
      </c>
      <c r="G136" s="12">
        <f>IF(AND(E136&lt;&gt;"",E136&lt;=5),1,0)</f>
        <v/>
      </c>
      <c r="H136" s="11" t="inlineStr">
        <is>
          <t>sop/ad-claim-review#steps</t>
        </is>
      </c>
      <c r="I136" s="11" t="inlineStr">
        <is>
          <t>sop/ad-claim-review#claims-register-status-as-of-2023-04-01</t>
        </is>
      </c>
      <c r="J136" s="11" t="inlineStr">
        <is>
          <t>brand/claims-policy#overview</t>
        </is>
      </c>
      <c r="K136" s="11" t="inlineStr">
        <is>
          <t>sop/influencer-brief#product-specific-notes-from-customer-research</t>
        </is>
      </c>
    </row>
    <row r="137">
      <c r="A137" s="5" t="inlineStr">
        <is>
          <t>V34</t>
        </is>
      </c>
      <c r="B137" s="5" t="inlineStr">
        <is>
          <t>SOP</t>
        </is>
      </c>
      <c r="C137" s="5" t="inlineStr">
        <is>
          <t>Tiếng Anh</t>
        </is>
      </c>
      <c r="D137" s="11" t="inlineStr">
        <is>
          <t>What do we do if a live ad breaks a BLOCK rule?</t>
        </is>
      </c>
      <c r="E137" s="12" t="n">
        <v>1</v>
      </c>
      <c r="F137" s="12">
        <f>IF(E137=1,1,0)</f>
        <v/>
      </c>
      <c r="G137" s="12">
        <f>IF(AND(E137&lt;&gt;"",E137&lt;=5),1,0)</f>
        <v/>
      </c>
      <c r="H137" s="11" t="inlineStr">
        <is>
          <t>sop/ad-claim-review#steps</t>
        </is>
      </c>
      <c r="I137" s="11" t="inlineStr">
        <is>
          <t>sop/ad-claim-review#steps</t>
        </is>
      </c>
      <c r="J137" s="11" t="inlineStr">
        <is>
          <t>brand/claims-policy#overview</t>
        </is>
      </c>
      <c r="K137" s="11" t="inlineStr">
        <is>
          <t>brand/claims-policy#cp-10</t>
        </is>
      </c>
    </row>
    <row r="138">
      <c r="A138" s="5" t="inlineStr">
        <is>
          <t>V34</t>
        </is>
      </c>
      <c r="B138" s="5" t="inlineStr">
        <is>
          <t>SOP</t>
        </is>
      </c>
      <c r="C138" s="5" t="inlineStr">
        <is>
          <t>Tiếng Việt có dấu</t>
        </is>
      </c>
      <c r="D138" s="11" t="inlineStr">
        <is>
          <t>Nếu quảng cáo đang chạy vi phạm luật BLOCK thì làm gì?</t>
        </is>
      </c>
      <c r="E138" s="12" t="n">
        <v>1</v>
      </c>
      <c r="F138" s="12">
        <f>IF(E138=1,1,0)</f>
        <v/>
      </c>
      <c r="G138" s="12">
        <f>IF(AND(E138&lt;&gt;"",E138&lt;=5),1,0)</f>
        <v/>
      </c>
      <c r="H138" s="11" t="inlineStr">
        <is>
          <t>sop/ad-claim-review#steps</t>
        </is>
      </c>
      <c r="I138" s="11" t="inlineStr">
        <is>
          <t>sop/ad-claim-review#steps</t>
        </is>
      </c>
      <c r="J138" s="11" t="inlineStr">
        <is>
          <t>brand/claims-policy#overview</t>
        </is>
      </c>
      <c r="K138" s="11" t="inlineStr">
        <is>
          <t>brand/claims-policy#cp-10</t>
        </is>
      </c>
    </row>
    <row r="139">
      <c r="A139" s="5" t="inlineStr">
        <is>
          <t>V34</t>
        </is>
      </c>
      <c r="B139" s="5" t="inlineStr">
        <is>
          <t>SOP</t>
        </is>
      </c>
      <c r="C139" s="5" t="inlineStr">
        <is>
          <t>Không dấu</t>
        </is>
      </c>
      <c r="D139" s="11" t="inlineStr">
        <is>
          <t>Neu quang cao dang chay vi pham luat BLOCK thi lam gi?</t>
        </is>
      </c>
      <c r="E139" s="12" t="n">
        <v>1</v>
      </c>
      <c r="F139" s="12">
        <f>IF(E139=1,1,0)</f>
        <v/>
      </c>
      <c r="G139" s="12">
        <f>IF(AND(E139&lt;&gt;"",E139&lt;=5),1,0)</f>
        <v/>
      </c>
      <c r="H139" s="11" t="inlineStr">
        <is>
          <t>sop/ad-claim-review#steps</t>
        </is>
      </c>
      <c r="I139" s="11" t="inlineStr">
        <is>
          <t>sop/ad-claim-review#steps</t>
        </is>
      </c>
      <c r="J139" s="11" t="inlineStr">
        <is>
          <t>brand/claims-policy#overview</t>
        </is>
      </c>
      <c r="K139" s="11" t="inlineStr">
        <is>
          <t>brand/voice-guide#four-voice-pillars</t>
        </is>
      </c>
    </row>
    <row r="140">
      <c r="A140" s="5" t="inlineStr">
        <is>
          <t>V34</t>
        </is>
      </c>
      <c r="B140" s="5" t="inlineStr">
        <is>
          <t>SOP</t>
        </is>
      </c>
      <c r="C140" s="5" t="inlineStr">
        <is>
          <t>Kiểu chat</t>
        </is>
      </c>
      <c r="D140" s="11" t="inlineStr">
        <is>
          <t>ads dang chay vi pham thi xu ly sao</t>
        </is>
      </c>
      <c r="E140" s="12" t="n">
        <v>5</v>
      </c>
      <c r="F140" s="12">
        <f>IF(E140=1,1,0)</f>
        <v/>
      </c>
      <c r="G140" s="12">
        <f>IF(AND(E140&lt;&gt;"",E140&lt;=5),1,0)</f>
        <v/>
      </c>
      <c r="H140" s="11" t="inlineStr">
        <is>
          <t>sop/ad-claim-review#steps</t>
        </is>
      </c>
      <c r="I140" s="11" t="inlineStr">
        <is>
          <t>creative/learnings-2023#open-questions-and-data-gaps</t>
        </is>
      </c>
      <c r="J140" s="11" t="inlineStr">
        <is>
          <t>creative/learnings-2023#ct-06</t>
        </is>
      </c>
      <c r="K140" s="11" t="inlineStr">
        <is>
          <t>sop/influencer-brief#product-specific-notes-from-customer-research</t>
        </is>
      </c>
    </row>
    <row r="141">
      <c r="A141" s="5" t="inlineStr">
        <is>
          <t>V35</t>
        </is>
      </c>
      <c r="B141" s="5" t="inlineStr">
        <is>
          <t>SOP</t>
        </is>
      </c>
      <c r="C141" s="5" t="inlineStr">
        <is>
          <t>Tiếng Anh</t>
        </is>
      </c>
      <c r="D141" s="11" t="inlineStr">
        <is>
          <t>What information should care collect when a customer reports a reaction?</t>
        </is>
      </c>
      <c r="E141" s="12" t="n">
        <v>2</v>
      </c>
      <c r="F141" s="12">
        <f>IF(E141=1,1,0)</f>
        <v/>
      </c>
      <c r="G141" s="12">
        <f>IF(AND(E141&lt;&gt;"",E141&lt;=5),1,0)</f>
        <v/>
      </c>
      <c r="H141" s="11" t="inlineStr">
        <is>
          <t>sop/adverse-event-escalation#steps</t>
        </is>
      </c>
      <c r="I141" s="11" t="inlineStr">
        <is>
          <t>compliance/fda-mocra-adverse-events#relevance-to-this-knowledge-base</t>
        </is>
      </c>
      <c r="J141" s="11" t="inlineStr">
        <is>
          <t>sop/adverse-event-escalation#steps</t>
        </is>
      </c>
      <c r="K141" s="11" t="inlineStr">
        <is>
          <t>sop/adverse-event-escalation#trigger</t>
        </is>
      </c>
    </row>
    <row r="142">
      <c r="A142" s="5" t="inlineStr">
        <is>
          <t>V35</t>
        </is>
      </c>
      <c r="B142" s="5" t="inlineStr">
        <is>
          <t>SOP</t>
        </is>
      </c>
      <c r="C142" s="5" t="inlineStr">
        <is>
          <t>Tiếng Việt có dấu</t>
        </is>
      </c>
      <c r="D142" s="11" t="inlineStr">
        <is>
          <t>CSKH cần thu thập thông tin gì khi khách báo bị phản ứng da?</t>
        </is>
      </c>
      <c r="E142" s="12" t="n">
        <v>5</v>
      </c>
      <c r="F142" s="12">
        <f>IF(E142=1,1,0)</f>
        <v/>
      </c>
      <c r="G142" s="12">
        <f>IF(AND(E142&lt;&gt;"",E142&lt;=5),1,0)</f>
        <v/>
      </c>
      <c r="H142" s="11" t="inlineStr">
        <is>
          <t>sop/adverse-event-escalation#steps</t>
        </is>
      </c>
      <c r="I142" s="11" t="inlineStr">
        <is>
          <t>compliance/fda-mocra-adverse-events#relevance-to-this-knowledge-base</t>
        </is>
      </c>
      <c r="J142" s="11" t="inlineStr">
        <is>
          <t>sop/adverse-event-escalation#trigger</t>
        </is>
      </c>
      <c r="K142" s="11" t="inlineStr">
        <is>
          <t>sop/influencer-brief#product-specific-notes-from-customer-research</t>
        </is>
      </c>
    </row>
    <row r="143">
      <c r="A143" s="5" t="inlineStr">
        <is>
          <t>V35</t>
        </is>
      </c>
      <c r="B143" s="5" t="inlineStr">
        <is>
          <t>SOP</t>
        </is>
      </c>
      <c r="C143" s="5" t="inlineStr">
        <is>
          <t>Không dấu</t>
        </is>
      </c>
      <c r="D143" s="11" t="inlineStr">
        <is>
          <t>CSKH can thu thap thong tin gi khi khach bao bi phan ung da?</t>
        </is>
      </c>
      <c r="E143" s="12" t="n">
        <v>9</v>
      </c>
      <c r="F143" s="12">
        <f>IF(E143=1,1,0)</f>
        <v/>
      </c>
      <c r="G143" s="12">
        <f>IF(AND(E143&lt;&gt;"",E143&lt;=5),1,0)</f>
        <v/>
      </c>
      <c r="H143" s="11" t="inlineStr">
        <is>
          <t>sop/adverse-event-escalation#steps</t>
        </is>
      </c>
      <c r="I143" s="11" t="inlineStr">
        <is>
          <t>sop/influencer-brief#product-specific-notes-from-customer-research</t>
        </is>
      </c>
      <c r="J143" s="11" t="inlineStr">
        <is>
          <t>creative/learnings-2023#ct-06</t>
        </is>
      </c>
      <c r="K143" s="11" t="inlineStr">
        <is>
          <t>sop/review-response#triage</t>
        </is>
      </c>
    </row>
    <row r="144">
      <c r="A144" s="5" t="inlineStr">
        <is>
          <t>V35</t>
        </is>
      </c>
      <c r="B144" s="5" t="inlineStr">
        <is>
          <t>SOP</t>
        </is>
      </c>
      <c r="C144" s="5" t="inlineStr">
        <is>
          <t>Kiểu chat</t>
        </is>
      </c>
      <c r="D144" s="11" t="inlineStr">
        <is>
          <t>khach bao bi di ung thi cskh hoi nhung gi</t>
        </is>
      </c>
      <c r="E144" s="12" t="n">
        <v>8</v>
      </c>
      <c r="F144" s="12">
        <f>IF(E144=1,1,0)</f>
        <v/>
      </c>
      <c r="G144" s="12">
        <f>IF(AND(E144&lt;&gt;"",E144&lt;=5),1,0)</f>
        <v/>
      </c>
      <c r="H144" s="11" t="inlineStr">
        <is>
          <t>sop/adverse-event-escalation#steps</t>
        </is>
      </c>
      <c r="I144" s="11" t="inlineStr">
        <is>
          <t>sop/influencer-brief#product-specific-notes-from-customer-research</t>
        </is>
      </c>
      <c r="J144" s="11" t="inlineStr">
        <is>
          <t>research/insights-P482535#how-to-read-this</t>
        </is>
      </c>
      <c r="K144" s="11" t="inlineStr">
        <is>
          <t>sop/review-response#triage</t>
        </is>
      </c>
    </row>
    <row r="145">
      <c r="A145" s="5" t="inlineStr">
        <is>
          <t>V36</t>
        </is>
      </c>
      <c r="B145" s="5" t="inlineStr">
        <is>
          <t>SOP</t>
        </is>
      </c>
      <c r="C145" s="5" t="inlineStr">
        <is>
          <t>Tiếng Anh</t>
        </is>
      </c>
      <c r="D145" s="11" t="inlineStr">
        <is>
          <t>What must care never say to a customer who had a reaction?</t>
        </is>
      </c>
      <c r="E145" s="12" t="n">
        <v>4</v>
      </c>
      <c r="F145" s="12">
        <f>IF(E145=1,1,0)</f>
        <v/>
      </c>
      <c r="G145" s="12">
        <f>IF(AND(E145&lt;&gt;"",E145&lt;=5),1,0)</f>
        <v/>
      </c>
      <c r="H145" s="11" t="inlineStr">
        <is>
          <t>sop/adverse-event-escalation#do-not
sop/review-response#principles</t>
        </is>
      </c>
      <c r="I145" s="11" t="inlineStr">
        <is>
          <t>sop/adverse-event-escalation#trigger</t>
        </is>
      </c>
      <c r="J145" s="11" t="inlineStr">
        <is>
          <t>policy/returns#not-covered-by-the-policy-text</t>
        </is>
      </c>
      <c r="K145" s="11" t="inlineStr">
        <is>
          <t>sop/adverse-event-escalation#steps</t>
        </is>
      </c>
    </row>
    <row r="146">
      <c r="A146" s="5" t="inlineStr">
        <is>
          <t>V36</t>
        </is>
      </c>
      <c r="B146" s="5" t="inlineStr">
        <is>
          <t>SOP</t>
        </is>
      </c>
      <c r="C146" s="5" t="inlineStr">
        <is>
          <t>Tiếng Việt có dấu</t>
        </is>
      </c>
      <c r="D146" s="11" t="inlineStr">
        <is>
          <t>CSKH tuyệt đối không được nói gì với khách bị phản ứng da?</t>
        </is>
      </c>
      <c r="E146" s="12" t="n">
        <v>7</v>
      </c>
      <c r="F146" s="12">
        <f>IF(E146=1,1,0)</f>
        <v/>
      </c>
      <c r="G146" s="12">
        <f>IF(AND(E146&lt;&gt;"",E146&lt;=5),1,0)</f>
        <v/>
      </c>
      <c r="H146" s="11" t="inlineStr">
        <is>
          <t>sop/adverse-event-escalation#do-not
sop/review-response#principles</t>
        </is>
      </c>
      <c r="I146" s="11" t="inlineStr">
        <is>
          <t>sop/adverse-event-escalation#trigger</t>
        </is>
      </c>
      <c r="J146" s="11" t="inlineStr">
        <is>
          <t>sop/influencer-brief#product-specific-notes-from-customer-research</t>
        </is>
      </c>
      <c r="K146" s="11" t="inlineStr">
        <is>
          <t>compliance/fda-mocra-adverse-events#relevance-to-this-knowledge-base</t>
        </is>
      </c>
    </row>
    <row r="147">
      <c r="A147" s="5" t="inlineStr">
        <is>
          <t>V36</t>
        </is>
      </c>
      <c r="B147" s="5" t="inlineStr">
        <is>
          <t>SOP</t>
        </is>
      </c>
      <c r="C147" s="5" t="inlineStr">
        <is>
          <t>Không dấu</t>
        </is>
      </c>
      <c r="D147" s="11" t="inlineStr">
        <is>
          <t>CSKH tuyet doi khong duoc noi gi voi khach bi phan ung da?</t>
        </is>
      </c>
      <c r="E147" s="12" t="n"/>
      <c r="F147" s="12">
        <f>IF(E147=1,1,0)</f>
        <v/>
      </c>
      <c r="G147" s="12">
        <f>IF(AND(E147&lt;&gt;"",E147&lt;=5),1,0)</f>
        <v/>
      </c>
      <c r="H147" s="11" t="inlineStr">
        <is>
          <t>sop/adverse-event-escalation#do-not
sop/review-response#principles</t>
        </is>
      </c>
      <c r="I147" s="11" t="inlineStr">
        <is>
          <t>sop/influencer-brief#product-specific-notes-from-customer-research</t>
        </is>
      </c>
      <c r="J147" s="11" t="inlineStr">
        <is>
          <t>creative/learnings-2023#ct-03</t>
        </is>
      </c>
      <c r="K147" s="11" t="inlineStr">
        <is>
          <t>creative/learnings-2023#ct-04</t>
        </is>
      </c>
    </row>
    <row r="148">
      <c r="A148" s="5" t="inlineStr">
        <is>
          <t>V36</t>
        </is>
      </c>
      <c r="B148" s="5" t="inlineStr">
        <is>
          <t>SOP</t>
        </is>
      </c>
      <c r="C148" s="5" t="inlineStr">
        <is>
          <t>Kiểu chat</t>
        </is>
      </c>
      <c r="D148" s="11" t="inlineStr">
        <is>
          <t>cskh ko dc noi gi khi khach bi kich ung</t>
        </is>
      </c>
      <c r="E148" s="12" t="n"/>
      <c r="F148" s="12">
        <f>IF(E148=1,1,0)</f>
        <v/>
      </c>
      <c r="G148" s="12">
        <f>IF(AND(E148&lt;&gt;"",E148&lt;=5),1,0)</f>
        <v/>
      </c>
      <c r="H148" s="11" t="inlineStr">
        <is>
          <t>sop/adverse-event-escalation#do-not
sop/review-response#principles</t>
        </is>
      </c>
      <c r="I148" s="11" t="inlineStr">
        <is>
          <t>brand/claims-policy#cp-01</t>
        </is>
      </c>
      <c r="J148" s="11" t="inlineStr">
        <is>
          <t>sop/adverse-event-escalation#trigger</t>
        </is>
      </c>
      <c r="K148" s="11" t="inlineStr">
        <is>
          <t>sop/adverse-event-escalation#steps</t>
        </is>
      </c>
    </row>
    <row r="149">
      <c r="A149" s="5" t="inlineStr">
        <is>
          <t>V37</t>
        </is>
      </c>
      <c r="B149" s="5" t="inlineStr">
        <is>
          <t>SOP</t>
        </is>
      </c>
      <c r="C149" s="5" t="inlineStr">
        <is>
          <t>Tiếng Anh</t>
        </is>
      </c>
      <c r="D149" s="11" t="inlineStr">
        <is>
          <t>How quickly must we respond to 1-star reviews?</t>
        </is>
      </c>
      <c r="E149" s="12" t="n">
        <v>1</v>
      </c>
      <c r="F149" s="12">
        <f>IF(E149=1,1,0)</f>
        <v/>
      </c>
      <c r="G149" s="12">
        <f>IF(AND(E149&lt;&gt;"",E149&lt;=5),1,0)</f>
        <v/>
      </c>
      <c r="H149" s="11" t="inlineStr">
        <is>
          <t>sop/review-response#principles</t>
        </is>
      </c>
      <c r="I149" s="11" t="inlineStr">
        <is>
          <t>sop/review-response#principles</t>
        </is>
      </c>
      <c r="J149" s="11" t="inlineStr">
        <is>
          <t>research/insights-P475543#evidence-by-theme-2</t>
        </is>
      </c>
      <c r="K149" s="11" t="inlineStr">
        <is>
          <t>sop/review-response#reply-templates</t>
        </is>
      </c>
    </row>
    <row r="150">
      <c r="A150" s="5" t="inlineStr">
        <is>
          <t>V37</t>
        </is>
      </c>
      <c r="B150" s="5" t="inlineStr">
        <is>
          <t>SOP</t>
        </is>
      </c>
      <c r="C150" s="5" t="inlineStr">
        <is>
          <t>Tiếng Việt có dấu</t>
        </is>
      </c>
      <c r="D150" s="11" t="inlineStr">
        <is>
          <t>Phải trả lời review 1 sao trong bao lâu?</t>
        </is>
      </c>
      <c r="E150" s="12" t="n">
        <v>1</v>
      </c>
      <c r="F150" s="12">
        <f>IF(E150=1,1,0)</f>
        <v/>
      </c>
      <c r="G150" s="12">
        <f>IF(AND(E150&lt;&gt;"",E150&lt;=5),1,0)</f>
        <v/>
      </c>
      <c r="H150" s="11" t="inlineStr">
        <is>
          <t>sop/review-response#principles</t>
        </is>
      </c>
      <c r="I150" s="11" t="inlineStr">
        <is>
          <t>sop/review-response#principles</t>
        </is>
      </c>
      <c r="J150" s="11" t="inlineStr">
        <is>
          <t>research/insights-line-blueberry#themes</t>
        </is>
      </c>
      <c r="K150" s="11" t="inlineStr">
        <is>
          <t>sop/review-response#reply-templates</t>
        </is>
      </c>
    </row>
    <row r="151">
      <c r="A151" s="5" t="inlineStr">
        <is>
          <t>V37</t>
        </is>
      </c>
      <c r="B151" s="5" t="inlineStr">
        <is>
          <t>SOP</t>
        </is>
      </c>
      <c r="C151" s="5" t="inlineStr">
        <is>
          <t>Không dấu</t>
        </is>
      </c>
      <c r="D151" s="11" t="inlineStr">
        <is>
          <t>Phai tra loi review 1 sao trong bao lau?</t>
        </is>
      </c>
      <c r="E151" s="12" t="n">
        <v>8</v>
      </c>
      <c r="F151" s="12">
        <f>IF(E151=1,1,0)</f>
        <v/>
      </c>
      <c r="G151" s="12">
        <f>IF(AND(E151&lt;&gt;"",E151&lt;=5),1,0)</f>
        <v/>
      </c>
      <c r="H151" s="11" t="inlineStr">
        <is>
          <t>sop/review-response#principles</t>
        </is>
      </c>
      <c r="I151" s="11" t="inlineStr">
        <is>
          <t>research/insights-line-blueberry#themes</t>
        </is>
      </c>
      <c r="J151" s="11" t="inlineStr">
        <is>
          <t>sop/ad-claim-review#steps</t>
        </is>
      </c>
      <c r="K151" s="11" t="inlineStr">
        <is>
          <t>research/insights-P436359#themes</t>
        </is>
      </c>
    </row>
    <row r="152">
      <c r="A152" s="5" t="inlineStr">
        <is>
          <t>V37</t>
        </is>
      </c>
      <c r="B152" s="5" t="inlineStr">
        <is>
          <t>SOP</t>
        </is>
      </c>
      <c r="C152" s="5" t="inlineStr">
        <is>
          <t>Kiểu chat</t>
        </is>
      </c>
      <c r="D152" s="11" t="inlineStr">
        <is>
          <t>rep review 1 sao trong bao lau</t>
        </is>
      </c>
      <c r="E152" s="12" t="n"/>
      <c r="F152" s="12">
        <f>IF(E152=1,1,0)</f>
        <v/>
      </c>
      <c r="G152" s="12">
        <f>IF(AND(E152&lt;&gt;"",E152&lt;=5),1,0)</f>
        <v/>
      </c>
      <c r="H152" s="11" t="inlineStr">
        <is>
          <t>sop/review-response#principles</t>
        </is>
      </c>
      <c r="I152" s="11" t="inlineStr">
        <is>
          <t>research/insights-line-papaya#themes</t>
        </is>
      </c>
      <c r="J152" s="11" t="inlineStr">
        <is>
          <t>research/insights-line-blueberry#themes</t>
        </is>
      </c>
      <c r="K152" s="11" t="inlineStr">
        <is>
          <t>research/insights-P436359#themes</t>
        </is>
      </c>
    </row>
    <row r="153">
      <c r="A153" s="5" t="inlineStr">
        <is>
          <t>V38</t>
        </is>
      </c>
      <c r="B153" s="5" t="inlineStr">
        <is>
          <t>SOP</t>
        </is>
      </c>
      <c r="C153" s="5" t="inlineStr">
        <is>
          <t>Tiếng Anh</t>
        </is>
      </c>
      <c r="D153" s="11" t="inlineStr">
        <is>
          <t>How long must a creator use the product before posting?</t>
        </is>
      </c>
      <c r="E153" s="12" t="n">
        <v>1</v>
      </c>
      <c r="F153" s="12">
        <f>IF(E153=1,1,0)</f>
        <v/>
      </c>
      <c r="G153" s="12">
        <f>IF(AND(E153&lt;&gt;"",E153&lt;=5),1,0)</f>
        <v/>
      </c>
      <c r="H153" s="11" t="inlineStr">
        <is>
          <t>sop/influencer-brief#mandatory-brief-sections</t>
        </is>
      </c>
      <c r="I153" s="11" t="inlineStr">
        <is>
          <t>sop/influencer-brief#mandatory-brief-sections</t>
        </is>
      </c>
      <c r="J153" s="11" t="inlineStr">
        <is>
          <t>sop/influencer-brief#steps</t>
        </is>
      </c>
      <c r="K153" s="11" t="inlineStr">
        <is>
          <t>compliance/ftc-endorsement-guides#brand-responsibilities</t>
        </is>
      </c>
    </row>
    <row r="154">
      <c r="A154" s="5" t="inlineStr">
        <is>
          <t>V38</t>
        </is>
      </c>
      <c r="B154" s="5" t="inlineStr">
        <is>
          <t>SOP</t>
        </is>
      </c>
      <c r="C154" s="5" t="inlineStr">
        <is>
          <t>Tiếng Việt có dấu</t>
        </is>
      </c>
      <c r="D154" s="11" t="inlineStr">
        <is>
          <t>Creator phải dùng sản phẩm bao lâu trước khi đăng bài?</t>
        </is>
      </c>
      <c r="E154" s="12" t="n">
        <v>1</v>
      </c>
      <c r="F154" s="12">
        <f>IF(E154=1,1,0)</f>
        <v/>
      </c>
      <c r="G154" s="12">
        <f>IF(AND(E154&lt;&gt;"",E154&lt;=5),1,0)</f>
        <v/>
      </c>
      <c r="H154" s="11" t="inlineStr">
        <is>
          <t>sop/influencer-brief#mandatory-brief-sections</t>
        </is>
      </c>
      <c r="I154" s="11" t="inlineStr">
        <is>
          <t>sop/influencer-brief#mandatory-brief-sections</t>
        </is>
      </c>
      <c r="J154" s="11" t="inlineStr">
        <is>
          <t>sop/influencer-brief#steps</t>
        </is>
      </c>
      <c r="K154" s="11" t="inlineStr">
        <is>
          <t>sop/influencer-brief#when-to-use</t>
        </is>
      </c>
    </row>
    <row r="155">
      <c r="A155" s="5" t="inlineStr">
        <is>
          <t>V38</t>
        </is>
      </c>
      <c r="B155" s="5" t="inlineStr">
        <is>
          <t>SOP</t>
        </is>
      </c>
      <c r="C155" s="5" t="inlineStr">
        <is>
          <t>Không dấu</t>
        </is>
      </c>
      <c r="D155" s="11" t="inlineStr">
        <is>
          <t>Creator phai dung san pham bao lau truoc khi dang bai?</t>
        </is>
      </c>
      <c r="E155" s="12" t="n">
        <v>4</v>
      </c>
      <c r="F155" s="12">
        <f>IF(E155=1,1,0)</f>
        <v/>
      </c>
      <c r="G155" s="12">
        <f>IF(AND(E155&lt;&gt;"",E155&lt;=5),1,0)</f>
        <v/>
      </c>
      <c r="H155" s="11" t="inlineStr">
        <is>
          <t>sop/influencer-brief#mandatory-brief-sections</t>
        </is>
      </c>
      <c r="I155" s="11" t="inlineStr">
        <is>
          <t>sop/influencer-brief#when-to-use</t>
        </is>
      </c>
      <c r="J155" s="11" t="inlineStr">
        <is>
          <t>sop/influencer-brief#product-specific-notes-from-customer-research</t>
        </is>
      </c>
      <c r="K155" s="11" t="inlineStr">
        <is>
          <t>sop/influencer-brief#steps</t>
        </is>
      </c>
    </row>
    <row r="156">
      <c r="A156" s="5" t="inlineStr">
        <is>
          <t>V38</t>
        </is>
      </c>
      <c r="B156" s="5" t="inlineStr">
        <is>
          <t>SOP</t>
        </is>
      </c>
      <c r="C156" s="5" t="inlineStr">
        <is>
          <t>Kiểu chat</t>
        </is>
      </c>
      <c r="D156" s="11" t="inlineStr">
        <is>
          <t>koc xai bao lau moi dc dang</t>
        </is>
      </c>
      <c r="E156" s="12" t="n"/>
      <c r="F156" s="12">
        <f>IF(E156=1,1,0)</f>
        <v/>
      </c>
      <c r="G156" s="12">
        <f>IF(AND(E156&lt;&gt;"",E156&lt;=5),1,0)</f>
        <v/>
      </c>
      <c r="H156" s="11" t="inlineStr">
        <is>
          <t>sop/influencer-brief#mandatory-brief-sections</t>
        </is>
      </c>
      <c r="I156" s="11" t="inlineStr">
        <is>
          <t>sop/influencer-brief#product-specific-notes-from-customer-research</t>
        </is>
      </c>
      <c r="J156" s="11" t="inlineStr">
        <is>
          <t>creative/learnings-2023#ct-01</t>
        </is>
      </c>
      <c r="K156" s="11" t="inlineStr">
        <is>
          <t>creative/learnings-2023#ct-02</t>
        </is>
      </c>
    </row>
    <row r="157">
      <c r="A157" s="5" t="inlineStr">
        <is>
          <t>V39</t>
        </is>
      </c>
      <c r="B157" s="5" t="inlineStr">
        <is>
          <t>Chính sách</t>
        </is>
      </c>
      <c r="C157" s="5" t="inlineStr">
        <is>
          <t>Tiếng Anh</t>
        </is>
      </c>
      <c r="D157" s="11" t="inlineStr">
        <is>
          <t>Do you ship internationally?</t>
        </is>
      </c>
      <c r="E157" s="12" t="n">
        <v>2</v>
      </c>
      <c r="F157" s="12">
        <f>IF(E157=1,1,0)</f>
        <v/>
      </c>
      <c r="G157" s="12">
        <f>IF(AND(E157&lt;&gt;"",E157&lt;=5),1,0)</f>
        <v/>
      </c>
      <c r="H157" s="11" t="inlineStr">
        <is>
          <t>policy/shipping#what-the-page-does-not-state
policy/returns#exclusions</t>
        </is>
      </c>
      <c r="I157" s="11" t="inlineStr">
        <is>
          <t>brand/claims-policy#cp-11</t>
        </is>
      </c>
      <c r="J157" s="11" t="inlineStr">
        <is>
          <t>policy/shipping#what-the-page-does-not-state</t>
        </is>
      </c>
      <c r="K157" s="11" t="inlineStr">
        <is>
          <t>policy/shipping#what-the-page-states</t>
        </is>
      </c>
    </row>
    <row r="158">
      <c r="A158" s="5" t="inlineStr">
        <is>
          <t>V39</t>
        </is>
      </c>
      <c r="B158" s="5" t="inlineStr">
        <is>
          <t>Chính sách</t>
        </is>
      </c>
      <c r="C158" s="5" t="inlineStr">
        <is>
          <t>Tiếng Việt có dấu</t>
        </is>
      </c>
      <c r="D158" s="11" t="inlineStr">
        <is>
          <t>Có giao hàng quốc tế không?</t>
        </is>
      </c>
      <c r="E158" s="12" t="n">
        <v>1</v>
      </c>
      <c r="F158" s="12">
        <f>IF(E158=1,1,0)</f>
        <v/>
      </c>
      <c r="G158" s="12">
        <f>IF(AND(E158&lt;&gt;"",E158&lt;=5),1,0)</f>
        <v/>
      </c>
      <c r="H158" s="11" t="inlineStr">
        <is>
          <t>policy/shipping#what-the-page-does-not-state
policy/returns#exclusions</t>
        </is>
      </c>
      <c r="I158" s="11" t="inlineStr">
        <is>
          <t>policy/shipping#what-the-page-does-not-state</t>
        </is>
      </c>
      <c r="J158" s="11" t="inlineStr">
        <is>
          <t>policy/shipping#what-the-page-states</t>
        </is>
      </c>
      <c r="K158" s="11" t="inlineStr">
        <is>
          <t>creative/learnings-2023#ct-10</t>
        </is>
      </c>
    </row>
    <row r="159">
      <c r="A159" s="5" t="inlineStr">
        <is>
          <t>V39</t>
        </is>
      </c>
      <c r="B159" s="5" t="inlineStr">
        <is>
          <t>Chính sách</t>
        </is>
      </c>
      <c r="C159" s="5" t="inlineStr">
        <is>
          <t>Không dấu</t>
        </is>
      </c>
      <c r="D159" s="11" t="inlineStr">
        <is>
          <t>Co giao hang quoc te khong?</t>
        </is>
      </c>
      <c r="E159" s="12" t="n">
        <v>1</v>
      </c>
      <c r="F159" s="12">
        <f>IF(E159=1,1,0)</f>
        <v/>
      </c>
      <c r="G159" s="12">
        <f>IF(AND(E159&lt;&gt;"",E159&lt;=5),1,0)</f>
        <v/>
      </c>
      <c r="H159" s="11" t="inlineStr">
        <is>
          <t>policy/shipping#what-the-page-does-not-state
policy/returns#exclusions</t>
        </is>
      </c>
      <c r="I159" s="11" t="inlineStr">
        <is>
          <t>policy/shipping#what-the-page-does-not-state</t>
        </is>
      </c>
      <c r="J159" s="11" t="inlineStr">
        <is>
          <t>creative/learnings-2023#open-questions-and-data-gaps</t>
        </is>
      </c>
      <c r="K159" s="11" t="inlineStr">
        <is>
          <t>creative/learnings-2023#ct-06</t>
        </is>
      </c>
    </row>
    <row r="160">
      <c r="A160" s="5" t="inlineStr">
        <is>
          <t>V39</t>
        </is>
      </c>
      <c r="B160" s="5" t="inlineStr">
        <is>
          <t>Chính sách</t>
        </is>
      </c>
      <c r="C160" s="5" t="inlineStr">
        <is>
          <t>Kiểu chat</t>
        </is>
      </c>
      <c r="D160" s="11" t="inlineStr">
        <is>
          <t>ship quoc te dc ko</t>
        </is>
      </c>
      <c r="E160" s="12" t="n">
        <v>3</v>
      </c>
      <c r="F160" s="12">
        <f>IF(E160=1,1,0)</f>
        <v/>
      </c>
      <c r="G160" s="12">
        <f>IF(AND(E160&lt;&gt;"",E160&lt;=5),1,0)</f>
        <v/>
      </c>
      <c r="H160" s="11" t="inlineStr">
        <is>
          <t>policy/shipping#what-the-page-does-not-state
policy/returns#exclusions</t>
        </is>
      </c>
      <c r="I160" s="11" t="inlineStr">
        <is>
          <t>brand/claims-policy#overview</t>
        </is>
      </c>
      <c r="J160" s="11" t="inlineStr">
        <is>
          <t>policy/shipping#what-the-page-states</t>
        </is>
      </c>
      <c r="K160" s="11" t="inlineStr">
        <is>
          <t>policy/shipping#what-the-page-does-not-state</t>
        </is>
      </c>
    </row>
    <row r="161">
      <c r="A161" s="5" t="inlineStr">
        <is>
          <t>V40</t>
        </is>
      </c>
      <c r="B161" s="5" t="inlineStr">
        <is>
          <t>Chính sách</t>
        </is>
      </c>
      <c r="C161" s="5" t="inlineStr">
        <is>
          <t>Tiếng Anh</t>
        </is>
      </c>
      <c r="D161" s="11" t="inlineStr">
        <is>
          <t>Are the original shipping fees refunded?</t>
        </is>
      </c>
      <c r="E161" s="12" t="n">
        <v>1</v>
      </c>
      <c r="F161" s="12">
        <f>IF(E161=1,1,0)</f>
        <v/>
      </c>
      <c r="G161" s="12">
        <f>IF(AND(E161&lt;&gt;"",E161&lt;=5),1,0)</f>
        <v/>
      </c>
      <c r="H161" s="11" t="inlineStr">
        <is>
          <t>policy/returns#key-terms</t>
        </is>
      </c>
      <c r="I161" s="11" t="inlineStr">
        <is>
          <t>policy/returns#key-terms</t>
        </is>
      </c>
      <c r="J161" s="11" t="inlineStr">
        <is>
          <t>policy/shipping#what-the-page-does-not-state</t>
        </is>
      </c>
      <c r="K161" s="11" t="inlineStr">
        <is>
          <t>policy/returns#exclusions</t>
        </is>
      </c>
    </row>
    <row r="162">
      <c r="A162" s="5" t="inlineStr">
        <is>
          <t>V40</t>
        </is>
      </c>
      <c r="B162" s="5" t="inlineStr">
        <is>
          <t>Chính sách</t>
        </is>
      </c>
      <c r="C162" s="5" t="inlineStr">
        <is>
          <t>Tiếng Việt có dấu</t>
        </is>
      </c>
      <c r="D162" s="11" t="inlineStr">
        <is>
          <t>Phí vận chuyển ban đầu có được hoàn lại không?</t>
        </is>
      </c>
      <c r="E162" s="12" t="n">
        <v>4</v>
      </c>
      <c r="F162" s="12">
        <f>IF(E162=1,1,0)</f>
        <v/>
      </c>
      <c r="G162" s="12">
        <f>IF(AND(E162&lt;&gt;"",E162&lt;=5),1,0)</f>
        <v/>
      </c>
      <c r="H162" s="11" t="inlineStr">
        <is>
          <t>policy/returns#key-terms</t>
        </is>
      </c>
      <c r="I162" s="11" t="inlineStr">
        <is>
          <t>policy/shipping#what-the-page-does-not-state</t>
        </is>
      </c>
      <c r="J162" s="11" t="inlineStr">
        <is>
          <t>policy/shipping#what-the-page-states</t>
        </is>
      </c>
      <c r="K162" s="11" t="inlineStr">
        <is>
          <t>creative/learnings-2023#ct-04</t>
        </is>
      </c>
    </row>
    <row r="163">
      <c r="A163" s="5" t="inlineStr">
        <is>
          <t>V40</t>
        </is>
      </c>
      <c r="B163" s="5" t="inlineStr">
        <is>
          <t>Chính sách</t>
        </is>
      </c>
      <c r="C163" s="5" t="inlineStr">
        <is>
          <t>Không dấu</t>
        </is>
      </c>
      <c r="D163" s="11" t="inlineStr">
        <is>
          <t>Phi van chuyen ban dau co duoc hoan lai khong?</t>
        </is>
      </c>
      <c r="E163" s="12" t="n"/>
      <c r="F163" s="12">
        <f>IF(E163=1,1,0)</f>
        <v/>
      </c>
      <c r="G163" s="12">
        <f>IF(AND(E163&lt;&gt;"",E163&lt;=5),1,0)</f>
        <v/>
      </c>
      <c r="H163" s="11" t="inlineStr">
        <is>
          <t>policy/returns#key-terms</t>
        </is>
      </c>
      <c r="I163" s="11" t="inlineStr">
        <is>
          <t>creative/learnings-2023#ct-04</t>
        </is>
      </c>
      <c r="J163" s="11" t="inlineStr">
        <is>
          <t>creative/learnings-2023#open-questions-and-data-gaps</t>
        </is>
      </c>
      <c r="K163" s="11" t="inlineStr">
        <is>
          <t>policy/shipping#useful-for-copy</t>
        </is>
      </c>
    </row>
    <row r="164">
      <c r="A164" s="5" t="inlineStr">
        <is>
          <t>V40</t>
        </is>
      </c>
      <c r="B164" s="5" t="inlineStr">
        <is>
          <t>Chính sách</t>
        </is>
      </c>
      <c r="C164" s="5" t="inlineStr">
        <is>
          <t>Kiểu chat</t>
        </is>
      </c>
      <c r="D164" s="11" t="inlineStr">
        <is>
          <t>phi ship co dc hoan ko</t>
        </is>
      </c>
      <c r="E164" s="12" t="n"/>
      <c r="F164" s="12">
        <f>IF(E164=1,1,0)</f>
        <v/>
      </c>
      <c r="G164" s="12">
        <f>IF(AND(E164&lt;&gt;"",E164&lt;=5),1,0)</f>
        <v/>
      </c>
      <c r="H164" s="11" t="inlineStr">
        <is>
          <t>policy/returns#key-terms</t>
        </is>
      </c>
      <c r="I164" s="11" t="inlineStr">
        <is>
          <t>sop/ad-claim-review#self-check-checklist</t>
        </is>
      </c>
      <c r="J164" s="11" t="inlineStr">
        <is>
          <t>policy/shipping#what-the-page-states</t>
        </is>
      </c>
      <c r="K164" s="11" t="inlineStr">
        <is>
          <t>policy/shipping#what-the-page-does-not-state</t>
        </is>
      </c>
    </row>
    <row r="165">
      <c r="A165" s="5" t="inlineStr">
        <is>
          <t>V41</t>
        </is>
      </c>
      <c r="B165" s="5" t="inlineStr">
        <is>
          <t>Chính sách</t>
        </is>
      </c>
      <c r="C165" s="5" t="inlineStr">
        <is>
          <t>Tiếng Anh</t>
        </is>
      </c>
      <c r="D165" s="11" t="inlineStr">
        <is>
          <t>Can a customer exchange a product?</t>
        </is>
      </c>
      <c r="E165" s="12" t="n">
        <v>1</v>
      </c>
      <c r="F165" s="12">
        <f>IF(E165=1,1,0)</f>
        <v/>
      </c>
      <c r="G165" s="12">
        <f>IF(AND(E165&lt;&gt;"",E165&lt;=5),1,0)</f>
        <v/>
      </c>
      <c r="H165" s="11" t="inlineStr">
        <is>
          <t>policy/returns#not-covered-by-the-policy-text</t>
        </is>
      </c>
      <c r="I165" s="11" t="inlineStr">
        <is>
          <t>policy/returns#not-covered-by-the-policy-text</t>
        </is>
      </c>
      <c r="J165" s="11" t="inlineStr">
        <is>
          <t>policy/returns#exclusions</t>
        </is>
      </c>
      <c r="K165" s="11" t="inlineStr">
        <is>
          <t>sop/adverse-event-escalation#do-not</t>
        </is>
      </c>
    </row>
    <row r="166">
      <c r="A166" s="5" t="inlineStr">
        <is>
          <t>V41</t>
        </is>
      </c>
      <c r="B166" s="5" t="inlineStr">
        <is>
          <t>Chính sách</t>
        </is>
      </c>
      <c r="C166" s="5" t="inlineStr">
        <is>
          <t>Tiếng Việt có dấu</t>
        </is>
      </c>
      <c r="D166" s="11" t="inlineStr">
        <is>
          <t>Khách có được đổi sản phẩm không?</t>
        </is>
      </c>
      <c r="E166" s="12" t="n">
        <v>1</v>
      </c>
      <c r="F166" s="12">
        <f>IF(E166=1,1,0)</f>
        <v/>
      </c>
      <c r="G166" s="12">
        <f>IF(AND(E166&lt;&gt;"",E166&lt;=5),1,0)</f>
        <v/>
      </c>
      <c r="H166" s="11" t="inlineStr">
        <is>
          <t>policy/returns#not-covered-by-the-policy-text</t>
        </is>
      </c>
      <c r="I166" s="11" t="inlineStr">
        <is>
          <t>policy/returns#not-covered-by-the-policy-text</t>
        </is>
      </c>
      <c r="J166" s="11" t="inlineStr">
        <is>
          <t>research/insights-P501254#evidence-by-theme-2</t>
        </is>
      </c>
      <c r="K166" s="11" t="inlineStr">
        <is>
          <t>research/insights-P501760#evidence-by-theme-2</t>
        </is>
      </c>
    </row>
    <row r="167">
      <c r="A167" s="5" t="inlineStr">
        <is>
          <t>V41</t>
        </is>
      </c>
      <c r="B167" s="5" t="inlineStr">
        <is>
          <t>Chính sách</t>
        </is>
      </c>
      <c r="C167" s="5" t="inlineStr">
        <is>
          <t>Không dấu</t>
        </is>
      </c>
      <c r="D167" s="11" t="inlineStr">
        <is>
          <t>Khach co duoc doi san pham khong?</t>
        </is>
      </c>
      <c r="E167" s="12" t="n"/>
      <c r="F167" s="12">
        <f>IF(E167=1,1,0)</f>
        <v/>
      </c>
      <c r="G167" s="12">
        <f>IF(AND(E167&lt;&gt;"",E167&lt;=5),1,0)</f>
        <v/>
      </c>
      <c r="H167" s="11" t="inlineStr">
        <is>
          <t>policy/returns#not-covered-by-the-policy-text</t>
        </is>
      </c>
      <c r="I167" s="11" t="inlineStr">
        <is>
          <t>sop/ad-claim-review#self-check-checklist</t>
        </is>
      </c>
      <c r="J167" s="11" t="inlineStr">
        <is>
          <t>compliance/ftc-health-claims#practical-implications-knowledge-base-s-reading</t>
        </is>
      </c>
      <c r="K167" s="11" t="inlineStr">
        <is>
          <t>sop/influencer-brief#product-specific-notes-from-customer-research</t>
        </is>
      </c>
    </row>
    <row r="168">
      <c r="A168" s="5" t="inlineStr">
        <is>
          <t>V41</t>
        </is>
      </c>
      <c r="B168" s="5" t="inlineStr">
        <is>
          <t>Chính sách</t>
        </is>
      </c>
      <c r="C168" s="5" t="inlineStr">
        <is>
          <t>Kiểu chat</t>
        </is>
      </c>
      <c r="D168" s="11" t="inlineStr">
        <is>
          <t>doi sp dc ko</t>
        </is>
      </c>
      <c r="E168" s="12" t="n"/>
      <c r="F168" s="12">
        <f>IF(E168=1,1,0)</f>
        <v/>
      </c>
      <c r="G168" s="12">
        <f>IF(AND(E168&lt;&gt;"",E168&lt;=5),1,0)</f>
        <v/>
      </c>
      <c r="H168" s="11" t="inlineStr">
        <is>
          <t>policy/returns#not-covered-by-the-policy-text</t>
        </is>
      </c>
      <c r="I168" s="11" t="inlineStr">
        <is>
          <t>sop/ad-claim-review#claims-register-status-as-of-2023-04-01</t>
        </is>
      </c>
      <c r="J168" s="11" t="inlineStr">
        <is>
          <t>sop/ad-claim-review#self-check-checklist</t>
        </is>
      </c>
      <c r="K168" s="11" t="inlineStr">
        <is>
          <t>brand/claims-policy#overview</t>
        </is>
      </c>
    </row>
    <row r="169">
      <c r="A169" s="5" t="inlineStr">
        <is>
          <t>V42</t>
        </is>
      </c>
      <c r="B169" s="5" t="inlineStr">
        <is>
          <t>Creative</t>
        </is>
      </c>
      <c r="C169" s="5" t="inlineStr">
        <is>
          <t>Tiếng Anh</t>
        </is>
      </c>
      <c r="D169" s="11" t="inlineStr">
        <is>
          <t>What happened with the sunscreen layering tutorial ad?</t>
        </is>
      </c>
      <c r="E169" s="12" t="n">
        <v>1</v>
      </c>
      <c r="F169" s="12">
        <f>IF(E169=1,1,0)</f>
        <v/>
      </c>
      <c r="G169" s="12">
        <f>IF(AND(E169&lt;&gt;"",E169&lt;=5),1,0)</f>
        <v/>
      </c>
      <c r="H169" s="11" t="inlineStr">
        <is>
          <t>creative/learnings-2023#ct-03</t>
        </is>
      </c>
      <c r="I169" s="11" t="inlineStr">
        <is>
          <t>creative/learnings-2023#ct-03</t>
        </is>
      </c>
      <c r="J169" s="11" t="inlineStr">
        <is>
          <t>sop/review-response#reply-templates</t>
        </is>
      </c>
      <c r="K169" s="11" t="inlineStr">
        <is>
          <t>research/insights-P481989#evidence-by-theme-2</t>
        </is>
      </c>
    </row>
    <row r="170">
      <c r="A170" s="5" t="inlineStr">
        <is>
          <t>V42</t>
        </is>
      </c>
      <c r="B170" s="5" t="inlineStr">
        <is>
          <t>Creative</t>
        </is>
      </c>
      <c r="C170" s="5" t="inlineStr">
        <is>
          <t>Tiếng Việt có dấu</t>
        </is>
      </c>
      <c r="D170" s="11" t="inlineStr">
        <is>
          <t>Quảng cáo hướng dẫn chống vón cho kem chống nắng cho kết quả gì?</t>
        </is>
      </c>
      <c r="E170" s="12" t="n">
        <v>2</v>
      </c>
      <c r="F170" s="12">
        <f>IF(E170=1,1,0)</f>
        <v/>
      </c>
      <c r="G170" s="12">
        <f>IF(AND(E170&lt;&gt;"",E170&lt;=5),1,0)</f>
        <v/>
      </c>
      <c r="H170" s="11" t="inlineStr">
        <is>
          <t>creative/learnings-2023#ct-03</t>
        </is>
      </c>
      <c r="I170" s="11" t="inlineStr">
        <is>
          <t>brand/claims-policy#cp-05</t>
        </is>
      </c>
      <c r="J170" s="11" t="inlineStr">
        <is>
          <t>creative/learnings-2023#ct-03</t>
        </is>
      </c>
      <c r="K170" s="11" t="inlineStr">
        <is>
          <t>sop/ad-claim-review#self-check-checklist</t>
        </is>
      </c>
    </row>
    <row r="171">
      <c r="A171" s="5" t="inlineStr">
        <is>
          <t>V42</t>
        </is>
      </c>
      <c r="B171" s="5" t="inlineStr">
        <is>
          <t>Creative</t>
        </is>
      </c>
      <c r="C171" s="5" t="inlineStr">
        <is>
          <t>Không dấu</t>
        </is>
      </c>
      <c r="D171" s="11" t="inlineStr">
        <is>
          <t>Quang cao huong dan chong von cho kem chong nang cho ket qua gi?</t>
        </is>
      </c>
      <c r="E171" s="12" t="n">
        <v>9</v>
      </c>
      <c r="F171" s="12">
        <f>IF(E171=1,1,0)</f>
        <v/>
      </c>
      <c r="G171" s="12">
        <f>IF(AND(E171&lt;&gt;"",E171&lt;=5),1,0)</f>
        <v/>
      </c>
      <c r="H171" s="11" t="inlineStr">
        <is>
          <t>creative/learnings-2023#ct-03</t>
        </is>
      </c>
      <c r="I171" s="11" t="inlineStr">
        <is>
          <t>brand/voice-guide#four-voice-pillars</t>
        </is>
      </c>
      <c r="J171" s="11" t="inlineStr">
        <is>
          <t>brand/claims-policy#cp-05</t>
        </is>
      </c>
      <c r="K171" s="11" t="inlineStr">
        <is>
          <t>sop/influencer-brief#product-specific-notes-from-customer-research</t>
        </is>
      </c>
    </row>
    <row r="172">
      <c r="A172" s="5" t="inlineStr">
        <is>
          <t>V42</t>
        </is>
      </c>
      <c r="B172" s="5" t="inlineStr">
        <is>
          <t>Creative</t>
        </is>
      </c>
      <c r="C172" s="5" t="inlineStr">
        <is>
          <t>Kiểu chat</t>
        </is>
      </c>
      <c r="D172" s="11" t="inlineStr">
        <is>
          <t>ads huong dan ko bi von kcn ket qua sao</t>
        </is>
      </c>
      <c r="E172" s="12" t="n"/>
      <c r="F172" s="12">
        <f>IF(E172=1,1,0)</f>
        <v/>
      </c>
      <c r="G172" s="12">
        <f>IF(AND(E172&lt;&gt;"",E172&lt;=5),1,0)</f>
        <v/>
      </c>
      <c r="H172" s="11" t="inlineStr">
        <is>
          <t>creative/learnings-2023#ct-03</t>
        </is>
      </c>
      <c r="I172" s="11" t="inlineStr">
        <is>
          <t>creative/learnings-2023#open-questions-and-data-gaps</t>
        </is>
      </c>
      <c r="J172" s="11" t="inlineStr">
        <is>
          <t>research/insights-P481989#evidence-by-theme-2</t>
        </is>
      </c>
      <c r="K172" s="11" t="inlineStr">
        <is>
          <t>compliance/ftc-health-claims#5-testimonials-and-endorsements</t>
        </is>
      </c>
    </row>
    <row r="173">
      <c r="A173" s="5" t="inlineStr">
        <is>
          <t>V43</t>
        </is>
      </c>
      <c r="B173" s="5" t="inlineStr">
        <is>
          <t>Creative</t>
        </is>
      </c>
      <c r="C173" s="5" t="inlineStr">
        <is>
          <t>Tiếng Anh</t>
        </is>
      </c>
      <c r="D173" s="11" t="inlineStr">
        <is>
          <t>Did UGC or studio creative perform better?</t>
        </is>
      </c>
      <c r="E173" s="12" t="n">
        <v>2</v>
      </c>
      <c r="F173" s="12">
        <f>IF(E173=1,1,0)</f>
        <v/>
      </c>
      <c r="G173" s="12">
        <f>IF(AND(E173&lt;&gt;"",E173&lt;=5),1,0)</f>
        <v/>
      </c>
      <c r="H173" s="11" t="inlineStr">
        <is>
          <t>creative/learnings-2023#cross-test-learnings</t>
        </is>
      </c>
      <c r="I173" s="11" t="inlineStr">
        <is>
          <t>creative/learnings-2023#ct-01</t>
        </is>
      </c>
      <c r="J173" s="11" t="inlineStr">
        <is>
          <t>creative/learnings-2023#cross-test-learnings</t>
        </is>
      </c>
      <c r="K173" s="11" t="inlineStr">
        <is>
          <t>creative/learnings-2023#open-questions-and-data-gaps</t>
        </is>
      </c>
    </row>
    <row r="174">
      <c r="A174" s="5" t="inlineStr">
        <is>
          <t>V43</t>
        </is>
      </c>
      <c r="B174" s="5" t="inlineStr">
        <is>
          <t>Creative</t>
        </is>
      </c>
      <c r="C174" s="5" t="inlineStr">
        <is>
          <t>Tiếng Việt có dấu</t>
        </is>
      </c>
      <c r="D174" s="11" t="inlineStr">
        <is>
          <t>UGC hay ảnh studio hiệu quả hơn?</t>
        </is>
      </c>
      <c r="E174" s="12" t="n">
        <v>2</v>
      </c>
      <c r="F174" s="12">
        <f>IF(E174=1,1,0)</f>
        <v/>
      </c>
      <c r="G174" s="12">
        <f>IF(AND(E174&lt;&gt;"",E174&lt;=5),1,0)</f>
        <v/>
      </c>
      <c r="H174" s="11" t="inlineStr">
        <is>
          <t>creative/learnings-2023#cross-test-learnings</t>
        </is>
      </c>
      <c r="I174" s="11" t="inlineStr">
        <is>
          <t>creative/learnings-2023#ct-01</t>
        </is>
      </c>
      <c r="J174" s="11" t="inlineStr">
        <is>
          <t>creative/learnings-2023#cross-test-learnings</t>
        </is>
      </c>
      <c r="K174" s="11" t="inlineStr">
        <is>
          <t>creative/brief-template#overview</t>
        </is>
      </c>
    </row>
    <row r="175">
      <c r="A175" s="5" t="inlineStr">
        <is>
          <t>V43</t>
        </is>
      </c>
      <c r="B175" s="5" t="inlineStr">
        <is>
          <t>Creative</t>
        </is>
      </c>
      <c r="C175" s="5" t="inlineStr">
        <is>
          <t>Không dấu</t>
        </is>
      </c>
      <c r="D175" s="11" t="inlineStr">
        <is>
          <t>UGC hay anh studio hieu qua hon?</t>
        </is>
      </c>
      <c r="E175" s="12" t="n">
        <v>2</v>
      </c>
      <c r="F175" s="12">
        <f>IF(E175=1,1,0)</f>
        <v/>
      </c>
      <c r="G175" s="12">
        <f>IF(AND(E175&lt;&gt;"",E175&lt;=5),1,0)</f>
        <v/>
      </c>
      <c r="H175" s="11" t="inlineStr">
        <is>
          <t>creative/learnings-2023#cross-test-learnings</t>
        </is>
      </c>
      <c r="I175" s="11" t="inlineStr">
        <is>
          <t>creative/learnings-2023#ct-01</t>
        </is>
      </c>
      <c r="J175" s="11" t="inlineStr">
        <is>
          <t>creative/learnings-2023#cross-test-learnings</t>
        </is>
      </c>
      <c r="K175" s="11" t="inlineStr">
        <is>
          <t>creative/brief-template#overview</t>
        </is>
      </c>
    </row>
    <row r="176">
      <c r="A176" s="5" t="inlineStr">
        <is>
          <t>V43</t>
        </is>
      </c>
      <c r="B176" s="5" t="inlineStr">
        <is>
          <t>Creative</t>
        </is>
      </c>
      <c r="C176" s="5" t="inlineStr">
        <is>
          <t>Kiểu chat</t>
        </is>
      </c>
      <c r="D176" s="11" t="inlineStr">
        <is>
          <t>ugc hay studio ngon hon</t>
        </is>
      </c>
      <c r="E176" s="12" t="n">
        <v>2</v>
      </c>
      <c r="F176" s="12">
        <f>IF(E176=1,1,0)</f>
        <v/>
      </c>
      <c r="G176" s="12">
        <f>IF(AND(E176&lt;&gt;"",E176&lt;=5),1,0)</f>
        <v/>
      </c>
      <c r="H176" s="11" t="inlineStr">
        <is>
          <t>creative/learnings-2023#cross-test-learnings</t>
        </is>
      </c>
      <c r="I176" s="11" t="inlineStr">
        <is>
          <t>creative/learnings-2023#ct-01</t>
        </is>
      </c>
      <c r="J176" s="11" t="inlineStr">
        <is>
          <t>creative/learnings-2023#cross-test-learnings</t>
        </is>
      </c>
      <c r="K176" s="11" t="inlineStr">
        <is>
          <t>creative/brief-template#overview</t>
        </is>
      </c>
    </row>
    <row r="177">
      <c r="A177" s="5" t="inlineStr">
        <is>
          <t>V44</t>
        </is>
      </c>
      <c r="B177" s="5" t="inlineStr">
        <is>
          <t>Creative</t>
        </is>
      </c>
      <c r="C177" s="5" t="inlineStr">
        <is>
          <t>Tiếng Anh</t>
        </is>
      </c>
      <c r="D177" s="11" t="inlineStr">
        <is>
          <t>What should we test next for the Guava serum?</t>
        </is>
      </c>
      <c r="E177" s="12" t="n">
        <v>1</v>
      </c>
      <c r="F177" s="12">
        <f>IF(E177=1,1,0)</f>
        <v/>
      </c>
      <c r="G177" s="12">
        <f>IF(AND(E177&lt;&gt;"",E177&lt;=5),1,0)</f>
        <v/>
      </c>
      <c r="H177" s="11" t="inlineStr">
        <is>
          <t>creative/learnings-2023#recommended-next-tests
creative/learnings-2023#open-questions-and-data-gaps</t>
        </is>
      </c>
      <c r="I177" s="11" t="inlineStr">
        <is>
          <t>creative/learnings-2023#recommended-next-tests-as-of-2023-04</t>
        </is>
      </c>
      <c r="J177" s="11" t="inlineStr">
        <is>
          <t>creative/learnings-2023#open-questions-and-data-gaps</t>
        </is>
      </c>
      <c r="K177" s="11" t="inlineStr">
        <is>
          <t>catalog/overview#guava-line</t>
        </is>
      </c>
    </row>
    <row r="178">
      <c r="A178" s="5" t="inlineStr">
        <is>
          <t>V44</t>
        </is>
      </c>
      <c r="B178" s="5" t="inlineStr">
        <is>
          <t>Creative</t>
        </is>
      </c>
      <c r="C178" s="5" t="inlineStr">
        <is>
          <t>Tiếng Việt có dấu</t>
        </is>
      </c>
      <c r="D178" s="11" t="inlineStr">
        <is>
          <t>Nên test gì tiếp theo cho serum Guava?</t>
        </is>
      </c>
      <c r="E178" s="12" t="n">
        <v>1</v>
      </c>
      <c r="F178" s="12">
        <f>IF(E178=1,1,0)</f>
        <v/>
      </c>
      <c r="G178" s="12">
        <f>IF(AND(E178&lt;&gt;"",E178&lt;=5),1,0)</f>
        <v/>
      </c>
      <c r="H178" s="11" t="inlineStr">
        <is>
          <t>creative/learnings-2023#recommended-next-tests
creative/learnings-2023#open-questions-and-data-gaps</t>
        </is>
      </c>
      <c r="I178" s="11" t="inlineStr">
        <is>
          <t>creative/learnings-2023#recommended-next-tests-as-of-2023-04</t>
        </is>
      </c>
      <c r="J178" s="11" t="inlineStr">
        <is>
          <t>research/insights-P475543#evidence-by-theme-2</t>
        </is>
      </c>
      <c r="K178" s="11" t="inlineStr">
        <is>
          <t>catalog/overview#guava-line</t>
        </is>
      </c>
    </row>
    <row r="179">
      <c r="A179" s="5" t="inlineStr">
        <is>
          <t>V44</t>
        </is>
      </c>
      <c r="B179" s="5" t="inlineStr">
        <is>
          <t>Creative</t>
        </is>
      </c>
      <c r="C179" s="5" t="inlineStr">
        <is>
          <t>Không dấu</t>
        </is>
      </c>
      <c r="D179" s="11" t="inlineStr">
        <is>
          <t>Nen test gi tiep theo cho serum Guava?</t>
        </is>
      </c>
      <c r="E179" s="12" t="n">
        <v>1</v>
      </c>
      <c r="F179" s="12">
        <f>IF(E179=1,1,0)</f>
        <v/>
      </c>
      <c r="G179" s="12">
        <f>IF(AND(E179&lt;&gt;"",E179&lt;=5),1,0)</f>
        <v/>
      </c>
      <c r="H179" s="11" t="inlineStr">
        <is>
          <t>creative/learnings-2023#recommended-next-tests
creative/learnings-2023#open-questions-and-data-gaps</t>
        </is>
      </c>
      <c r="I179" s="11" t="inlineStr">
        <is>
          <t>creative/learnings-2023#recommended-next-tests-as-of-2023-04</t>
        </is>
      </c>
      <c r="J179" s="11" t="inlineStr">
        <is>
          <t>catalog/overview#guava-line</t>
        </is>
      </c>
      <c r="K179" s="11" t="inlineStr">
        <is>
          <t>research/insights-P475543#evidence-by-theme-2</t>
        </is>
      </c>
    </row>
    <row r="180">
      <c r="A180" s="5" t="inlineStr">
        <is>
          <t>V44</t>
        </is>
      </c>
      <c r="B180" s="5" t="inlineStr">
        <is>
          <t>Creative</t>
        </is>
      </c>
      <c r="C180" s="5" t="inlineStr">
        <is>
          <t>Kiểu chat</t>
        </is>
      </c>
      <c r="D180" s="11" t="inlineStr">
        <is>
          <t>serum oi nen test gi tiep</t>
        </is>
      </c>
      <c r="E180" s="12" t="n">
        <v>5</v>
      </c>
      <c r="F180" s="12">
        <f>IF(E180=1,1,0)</f>
        <v/>
      </c>
      <c r="G180" s="12">
        <f>IF(AND(E180&lt;&gt;"",E180&lt;=5),1,0)</f>
        <v/>
      </c>
      <c r="H180" s="11" t="inlineStr">
        <is>
          <t>creative/learnings-2023#recommended-next-tests
creative/learnings-2023#open-questions-and-data-gaps</t>
        </is>
      </c>
      <c r="I180" s="11" t="inlineStr">
        <is>
          <t>creative/learnings-2023#ct-07</t>
        </is>
      </c>
      <c r="J180" s="11" t="inlineStr">
        <is>
          <t>creative/learnings-2023#ct-06</t>
        </is>
      </c>
      <c r="K180" s="11" t="inlineStr">
        <is>
          <t>creative/learnings-2023#ct-09</t>
        </is>
      </c>
    </row>
    <row r="181">
      <c r="A181" s="5" t="inlineStr">
        <is>
          <t>V45</t>
        </is>
      </c>
      <c r="B181" s="5" t="inlineStr">
        <is>
          <t>Creative</t>
        </is>
      </c>
      <c r="C181" s="5" t="inlineStr">
        <is>
          <t>Tiếng Anh</t>
        </is>
      </c>
      <c r="D181" s="11" t="inlineStr">
        <is>
          <t>When does a test count as a winner?</t>
        </is>
      </c>
      <c r="E181" s="12" t="n"/>
      <c r="F181" s="12">
        <f>IF(E181=1,1,0)</f>
        <v/>
      </c>
      <c r="G181" s="12">
        <f>IF(AND(E181&lt;&gt;"",E181&lt;=5),1,0)</f>
        <v/>
      </c>
      <c r="H181" s="11" t="inlineStr">
        <is>
          <t>creative/learnings-2023#how-to-read-this</t>
        </is>
      </c>
      <c r="I181" s="11" t="inlineStr">
        <is>
          <t>creative/learnings-2023#ct-08</t>
        </is>
      </c>
      <c r="J181" s="11" t="inlineStr">
        <is>
          <t>creative/learnings-2023#ct-02</t>
        </is>
      </c>
      <c r="K181" s="11" t="inlineStr">
        <is>
          <t>creative/learnings-2023#cross-test-learnings</t>
        </is>
      </c>
    </row>
    <row r="182">
      <c r="A182" s="5" t="inlineStr">
        <is>
          <t>V45</t>
        </is>
      </c>
      <c r="B182" s="5" t="inlineStr">
        <is>
          <t>Creative</t>
        </is>
      </c>
      <c r="C182" s="5" t="inlineStr">
        <is>
          <t>Tiếng Việt có dấu</t>
        </is>
      </c>
      <c r="D182" s="11" t="inlineStr">
        <is>
          <t>Khi nào một bài test được coi là thắng?</t>
        </is>
      </c>
      <c r="E182" s="12" t="n"/>
      <c r="F182" s="12">
        <f>IF(E182=1,1,0)</f>
        <v/>
      </c>
      <c r="G182" s="12">
        <f>IF(AND(E182&lt;&gt;"",E182&lt;=5),1,0)</f>
        <v/>
      </c>
      <c r="H182" s="11" t="inlineStr">
        <is>
          <t>creative/learnings-2023#how-to-read-this</t>
        </is>
      </c>
      <c r="I182" s="11" t="inlineStr">
        <is>
          <t>creative/learnings-2023#ct-08</t>
        </is>
      </c>
      <c r="J182" s="11" t="inlineStr">
        <is>
          <t>creative/learnings-2023#ct-02</t>
        </is>
      </c>
      <c r="K182" s="11" t="inlineStr">
        <is>
          <t>creative/learnings-2023#ct-01</t>
        </is>
      </c>
    </row>
    <row r="183">
      <c r="A183" s="5" t="inlineStr">
        <is>
          <t>V45</t>
        </is>
      </c>
      <c r="B183" s="5" t="inlineStr">
        <is>
          <t>Creative</t>
        </is>
      </c>
      <c r="C183" s="5" t="inlineStr">
        <is>
          <t>Không dấu</t>
        </is>
      </c>
      <c r="D183" s="11" t="inlineStr">
        <is>
          <t>Khi nao mot bai test duoc coi la thang?</t>
        </is>
      </c>
      <c r="E183" s="12" t="n"/>
      <c r="F183" s="12">
        <f>IF(E183=1,1,0)</f>
        <v/>
      </c>
      <c r="G183" s="12">
        <f>IF(AND(E183&lt;&gt;"",E183&lt;=5),1,0)</f>
        <v/>
      </c>
      <c r="H183" s="11" t="inlineStr">
        <is>
          <t>creative/learnings-2023#how-to-read-this</t>
        </is>
      </c>
      <c r="I183" s="11" t="inlineStr">
        <is>
          <t>creative/learnings-2023#ct-02</t>
        </is>
      </c>
      <c r="J183" s="11" t="inlineStr">
        <is>
          <t>creative/learnings-2023#recommended-next-tests-as-of-2023-04</t>
        </is>
      </c>
      <c r="K183" s="11" t="inlineStr">
        <is>
          <t>creative/learnings-2023#ct-06</t>
        </is>
      </c>
    </row>
    <row r="184">
      <c r="A184" s="5" t="inlineStr">
        <is>
          <t>V45</t>
        </is>
      </c>
      <c r="B184" s="5" t="inlineStr">
        <is>
          <t>Creative</t>
        </is>
      </c>
      <c r="C184" s="5" t="inlineStr">
        <is>
          <t>Kiểu chat</t>
        </is>
      </c>
      <c r="D184" s="11" t="inlineStr">
        <is>
          <t>the nao la test thang</t>
        </is>
      </c>
      <c r="E184" s="12" t="n"/>
      <c r="F184" s="12">
        <f>IF(E184=1,1,0)</f>
        <v/>
      </c>
      <c r="G184" s="12">
        <f>IF(AND(E184&lt;&gt;"",E184&lt;=5),1,0)</f>
        <v/>
      </c>
      <c r="H184" s="11" t="inlineStr">
        <is>
          <t>creative/learnings-2023#how-to-read-this</t>
        </is>
      </c>
      <c r="I184" s="11" t="inlineStr">
        <is>
          <t>creative/learnings-2023#ct-02</t>
        </is>
      </c>
      <c r="J184" s="11" t="inlineStr">
        <is>
          <t>sop/ad-claim-review#self-check-checklist</t>
        </is>
      </c>
      <c r="K184" s="11" t="inlineStr">
        <is>
          <t>sop/ad-claim-review#claims-register-status-as-of-2023-04-01</t>
        </is>
      </c>
    </row>
    <row r="185">
      <c r="A185" s="5" t="inlineStr">
        <is>
          <t>V46</t>
        </is>
      </c>
      <c r="B185" s="5" t="inlineStr">
        <is>
          <t>Brand</t>
        </is>
      </c>
      <c r="C185" s="5" t="inlineStr">
        <is>
          <t>Tiếng Anh</t>
        </is>
      </c>
      <c r="D185" s="11" t="inlineStr">
        <is>
          <t>Which emojis are we allowed to use?</t>
        </is>
      </c>
      <c r="E185" s="12" t="n">
        <v>1</v>
      </c>
      <c r="F185" s="12">
        <f>IF(E185=1,1,0)</f>
        <v/>
      </c>
      <c r="G185" s="12">
        <f>IF(AND(E185&lt;&gt;"",E185&lt;=5),1,0)</f>
        <v/>
      </c>
      <c r="H185" s="11" t="inlineStr">
        <is>
          <t>brand/voice-guide#emoji-palette</t>
        </is>
      </c>
      <c r="I185" s="11" t="inlineStr">
        <is>
          <t>brand/voice-guide#emoji-palette</t>
        </is>
      </c>
      <c r="J185" s="11" t="inlineStr">
        <is>
          <t>compliance/fda-sunscreen-labeling#prohibited-terms</t>
        </is>
      </c>
      <c r="K185" s="11" t="inlineStr">
        <is>
          <t>brand/voice-guide#channel-formats</t>
        </is>
      </c>
    </row>
    <row r="186">
      <c r="A186" s="5" t="inlineStr">
        <is>
          <t>V46</t>
        </is>
      </c>
      <c r="B186" s="5" t="inlineStr">
        <is>
          <t>Brand</t>
        </is>
      </c>
      <c r="C186" s="5" t="inlineStr">
        <is>
          <t>Tiếng Việt có dấu</t>
        </is>
      </c>
      <c r="D186" s="11" t="inlineStr">
        <is>
          <t>Được dùng những emoji nào?</t>
        </is>
      </c>
      <c r="E186" s="12" t="n">
        <v>1</v>
      </c>
      <c r="F186" s="12">
        <f>IF(E186=1,1,0)</f>
        <v/>
      </c>
      <c r="G186" s="12">
        <f>IF(AND(E186&lt;&gt;"",E186&lt;=5),1,0)</f>
        <v/>
      </c>
      <c r="H186" s="11" t="inlineStr">
        <is>
          <t>brand/voice-guide#emoji-palette</t>
        </is>
      </c>
      <c r="I186" s="11" t="inlineStr">
        <is>
          <t>brand/voice-guide#emoji-palette</t>
        </is>
      </c>
      <c r="J186" s="11" t="inlineStr">
        <is>
          <t>brand/voice-guide#four-voice-pillars</t>
        </is>
      </c>
      <c r="K186" s="11" t="inlineStr">
        <is>
          <t>brand/voice-guide#channel-formats</t>
        </is>
      </c>
    </row>
    <row r="187">
      <c r="A187" s="5" t="inlineStr">
        <is>
          <t>V46</t>
        </is>
      </c>
      <c r="B187" s="5" t="inlineStr">
        <is>
          <t>Brand</t>
        </is>
      </c>
      <c r="C187" s="5" t="inlineStr">
        <is>
          <t>Không dấu</t>
        </is>
      </c>
      <c r="D187" s="11" t="inlineStr">
        <is>
          <t>Duoc dung nhung emoji nao?</t>
        </is>
      </c>
      <c r="E187" s="12" t="n">
        <v>1</v>
      </c>
      <c r="F187" s="12">
        <f>IF(E187=1,1,0)</f>
        <v/>
      </c>
      <c r="G187" s="12">
        <f>IF(AND(E187&lt;&gt;"",E187&lt;=5),1,0)</f>
        <v/>
      </c>
      <c r="H187" s="11" t="inlineStr">
        <is>
          <t>brand/voice-guide#emoji-palette</t>
        </is>
      </c>
      <c r="I187" s="11" t="inlineStr">
        <is>
          <t>brand/voice-guide#emoji-palette</t>
        </is>
      </c>
      <c r="J187" s="11" t="inlineStr">
        <is>
          <t>brand/voice-guide#four-voice-pillars</t>
        </is>
      </c>
      <c r="K187" s="11" t="inlineStr">
        <is>
          <t>brand/voice-guide#channel-formats</t>
        </is>
      </c>
    </row>
    <row r="188">
      <c r="A188" s="5" t="inlineStr">
        <is>
          <t>V46</t>
        </is>
      </c>
      <c r="B188" s="5" t="inlineStr">
        <is>
          <t>Brand</t>
        </is>
      </c>
      <c r="C188" s="5" t="inlineStr">
        <is>
          <t>Kiểu chat</t>
        </is>
      </c>
      <c r="D188" s="11" t="inlineStr">
        <is>
          <t>dc xai emoji nao</t>
        </is>
      </c>
      <c r="E188" s="12" t="n">
        <v>1</v>
      </c>
      <c r="F188" s="12">
        <f>IF(E188=1,1,0)</f>
        <v/>
      </c>
      <c r="G188" s="12">
        <f>IF(AND(E188&lt;&gt;"",E188&lt;=5),1,0)</f>
        <v/>
      </c>
      <c r="H188" s="11" t="inlineStr">
        <is>
          <t>brand/voice-guide#emoji-palette</t>
        </is>
      </c>
      <c r="I188" s="11" t="inlineStr">
        <is>
          <t>brand/voice-guide#emoji-palette</t>
        </is>
      </c>
      <c r="J188" s="11" t="inlineStr">
        <is>
          <t>brand/voice-guide#four-voice-pillars</t>
        </is>
      </c>
      <c r="K188" s="11" t="inlineStr">
        <is>
          <t>creative/learnings-2023#open-questions-and-data-gaps</t>
        </is>
      </c>
    </row>
    <row r="189">
      <c r="A189" s="5" t="inlineStr">
        <is>
          <t>V47</t>
        </is>
      </c>
      <c r="B189" s="5" t="inlineStr">
        <is>
          <t>Brand</t>
        </is>
      </c>
      <c r="C189" s="5" t="inlineStr">
        <is>
          <t>Tiếng Anh</t>
        </is>
      </c>
      <c r="D189" s="11" t="inlineStr">
        <is>
          <t>How long should an email subject line be?</t>
        </is>
      </c>
      <c r="E189" s="12" t="n">
        <v>1</v>
      </c>
      <c r="F189" s="12">
        <f>IF(E189=1,1,0)</f>
        <v/>
      </c>
      <c r="G189" s="12">
        <f>IF(AND(E189&lt;&gt;"",E189&lt;=5),1,0)</f>
        <v/>
      </c>
      <c r="H189" s="11" t="inlineStr">
        <is>
          <t>brand/voice-guide#channel-formats</t>
        </is>
      </c>
      <c r="I189" s="11" t="inlineStr">
        <is>
          <t>brand/voice-guide#channel-formats</t>
        </is>
      </c>
      <c r="J189" s="11" t="inlineStr">
        <is>
          <t>sop/review-response#principles</t>
        </is>
      </c>
      <c r="K189" s="11" t="inlineStr">
        <is>
          <t>brand/claims-policy#overview</t>
        </is>
      </c>
    </row>
    <row r="190">
      <c r="A190" s="5" t="inlineStr">
        <is>
          <t>V47</t>
        </is>
      </c>
      <c r="B190" s="5" t="inlineStr">
        <is>
          <t>Brand</t>
        </is>
      </c>
      <c r="C190" s="5" t="inlineStr">
        <is>
          <t>Tiếng Việt có dấu</t>
        </is>
      </c>
      <c r="D190" s="11" t="inlineStr">
        <is>
          <t>Tiêu đề email nên dài bao nhiêu?</t>
        </is>
      </c>
      <c r="E190" s="12" t="n">
        <v>1</v>
      </c>
      <c r="F190" s="12">
        <f>IF(E190=1,1,0)</f>
        <v/>
      </c>
      <c r="G190" s="12">
        <f>IF(AND(E190&lt;&gt;"",E190&lt;=5),1,0)</f>
        <v/>
      </c>
      <c r="H190" s="11" t="inlineStr">
        <is>
          <t>brand/voice-guide#channel-formats</t>
        </is>
      </c>
      <c r="I190" s="11" t="inlineStr">
        <is>
          <t>brand/voice-guide#channel-formats</t>
        </is>
      </c>
      <c r="J190" s="11" t="inlineStr">
        <is>
          <t>policy/shipping#what-the-page-states</t>
        </is>
      </c>
      <c r="K190" s="11" t="inlineStr">
        <is>
          <t>brand/claims-policy#overview</t>
        </is>
      </c>
    </row>
    <row r="191">
      <c r="A191" s="5" t="inlineStr">
        <is>
          <t>V47</t>
        </is>
      </c>
      <c r="B191" s="5" t="inlineStr">
        <is>
          <t>Brand</t>
        </is>
      </c>
      <c r="C191" s="5" t="inlineStr">
        <is>
          <t>Không dấu</t>
        </is>
      </c>
      <c r="D191" s="11" t="inlineStr">
        <is>
          <t>Tieu de email nen dai bao nhieu?</t>
        </is>
      </c>
      <c r="E191" s="12" t="n">
        <v>10</v>
      </c>
      <c r="F191" s="12">
        <f>IF(E191=1,1,0)</f>
        <v/>
      </c>
      <c r="G191" s="12">
        <f>IF(AND(E191&lt;&gt;"",E191&lt;=5),1,0)</f>
        <v/>
      </c>
      <c r="H191" s="11" t="inlineStr">
        <is>
          <t>brand/voice-guide#channel-formats</t>
        </is>
      </c>
      <c r="I191" s="11" t="inlineStr">
        <is>
          <t>brand/claims-policy#overview</t>
        </is>
      </c>
      <c r="J191" s="11" t="inlineStr">
        <is>
          <t>policy/shipping#what-the-page-states</t>
        </is>
      </c>
      <c r="K191" s="11" t="inlineStr">
        <is>
          <t>brand/voice-guide#four-voice-pillars</t>
        </is>
      </c>
    </row>
    <row r="192">
      <c r="A192" s="5" t="inlineStr">
        <is>
          <t>V47</t>
        </is>
      </c>
      <c r="B192" s="5" t="inlineStr">
        <is>
          <t>Brand</t>
        </is>
      </c>
      <c r="C192" s="5" t="inlineStr">
        <is>
          <t>Kiểu chat</t>
        </is>
      </c>
      <c r="D192" s="11" t="inlineStr">
        <is>
          <t>subject email dai bao nhieu</t>
        </is>
      </c>
      <c r="E192" s="12" t="n">
        <v>1</v>
      </c>
      <c r="F192" s="12">
        <f>IF(E192=1,1,0)</f>
        <v/>
      </c>
      <c r="G192" s="12">
        <f>IF(AND(E192&lt;&gt;"",E192&lt;=5),1,0)</f>
        <v/>
      </c>
      <c r="H192" s="11" t="inlineStr">
        <is>
          <t>brand/voice-guide#channel-formats</t>
        </is>
      </c>
      <c r="I192" s="11" t="inlineStr">
        <is>
          <t>brand/voice-guide#channel-formats</t>
        </is>
      </c>
      <c r="J192" s="11" t="inlineStr">
        <is>
          <t>brand/claims-policy#overview</t>
        </is>
      </c>
      <c r="K192" s="11" t="inlineStr">
        <is>
          <t>policy/shipping#what-the-page-states</t>
        </is>
      </c>
    </row>
    <row r="193">
      <c r="A193" s="5" t="inlineStr">
        <is>
          <t>V48</t>
        </is>
      </c>
      <c r="B193" s="5" t="inlineStr">
        <is>
          <t>Brand</t>
        </is>
      </c>
      <c r="C193" s="5" t="inlineStr">
        <is>
          <t>Tiếng Anh</t>
        </is>
      </c>
      <c r="D193" s="11" t="inlineStr">
        <is>
          <t>Which words should we avoid in brand copy?</t>
        </is>
      </c>
      <c r="E193" s="12" t="n">
        <v>1</v>
      </c>
      <c r="F193" s="12">
        <f>IF(E193=1,1,0)</f>
        <v/>
      </c>
      <c r="G193" s="12">
        <f>IF(AND(E193&lt;&gt;"",E193&lt;=5),1,0)</f>
        <v/>
      </c>
      <c r="H193" s="11" t="inlineStr">
        <is>
          <t>brand/voice-guide#vocabulary</t>
        </is>
      </c>
      <c r="I193" s="11" t="inlineStr">
        <is>
          <t>brand/voice-guide#vocabulary</t>
        </is>
      </c>
      <c r="J193" s="11" t="inlineStr">
        <is>
          <t>sop/ad-claim-review#self-check-checklist</t>
        </is>
      </c>
      <c r="K193" s="11" t="inlineStr">
        <is>
          <t>brand/voice-guide#examples</t>
        </is>
      </c>
    </row>
    <row r="194">
      <c r="A194" s="5" t="inlineStr">
        <is>
          <t>V48</t>
        </is>
      </c>
      <c r="B194" s="5" t="inlineStr">
        <is>
          <t>Brand</t>
        </is>
      </c>
      <c r="C194" s="5" t="inlineStr">
        <is>
          <t>Tiếng Việt có dấu</t>
        </is>
      </c>
      <c r="D194" s="11" t="inlineStr">
        <is>
          <t>Những từ nào nên tránh khi viết nội dung thương hiệu?</t>
        </is>
      </c>
      <c r="E194" s="12" t="n">
        <v>1</v>
      </c>
      <c r="F194" s="12">
        <f>IF(E194=1,1,0)</f>
        <v/>
      </c>
      <c r="G194" s="12">
        <f>IF(AND(E194&lt;&gt;"",E194&lt;=5),1,0)</f>
        <v/>
      </c>
      <c r="H194" s="11" t="inlineStr">
        <is>
          <t>brand/voice-guide#vocabulary</t>
        </is>
      </c>
      <c r="I194" s="11" t="inlineStr">
        <is>
          <t>brand/voice-guide#vocabulary</t>
        </is>
      </c>
      <c r="J194" s="11" t="inlineStr">
        <is>
          <t>sop/review-response#principles</t>
        </is>
      </c>
      <c r="K194" s="11" t="inlineStr">
        <is>
          <t>brand/claims-policy#cp-09</t>
        </is>
      </c>
    </row>
    <row r="195">
      <c r="A195" s="5" t="inlineStr">
        <is>
          <t>V48</t>
        </is>
      </c>
      <c r="B195" s="5" t="inlineStr">
        <is>
          <t>Brand</t>
        </is>
      </c>
      <c r="C195" s="5" t="inlineStr">
        <is>
          <t>Không dấu</t>
        </is>
      </c>
      <c r="D195" s="11" t="inlineStr">
        <is>
          <t>Nhung tu nao nen tranh khi viet noi dung thuong hieu?</t>
        </is>
      </c>
      <c r="E195" s="12" t="n">
        <v>4</v>
      </c>
      <c r="F195" s="12">
        <f>IF(E195=1,1,0)</f>
        <v/>
      </c>
      <c r="G195" s="12">
        <f>IF(AND(E195&lt;&gt;"",E195&lt;=5),1,0)</f>
        <v/>
      </c>
      <c r="H195" s="11" t="inlineStr">
        <is>
          <t>brand/voice-guide#vocabulary</t>
        </is>
      </c>
      <c r="I195" s="11" t="inlineStr">
        <is>
          <t>creative/learnings-2023#open-questions-and-data-gaps</t>
        </is>
      </c>
      <c r="J195" s="11" t="inlineStr">
        <is>
          <t>sop/review-response#principles</t>
        </is>
      </c>
      <c r="K195" s="11" t="inlineStr">
        <is>
          <t>creative/brief-template#overview</t>
        </is>
      </c>
    </row>
    <row r="196">
      <c r="A196" s="5" t="inlineStr">
        <is>
          <t>V48</t>
        </is>
      </c>
      <c r="B196" s="5" t="inlineStr">
        <is>
          <t>Brand</t>
        </is>
      </c>
      <c r="C196" s="5" t="inlineStr">
        <is>
          <t>Kiểu chat</t>
        </is>
      </c>
      <c r="D196" s="11" t="inlineStr">
        <is>
          <t>tu nao ko nen dung khi viet content</t>
        </is>
      </c>
      <c r="E196" s="12" t="n"/>
      <c r="F196" s="12">
        <f>IF(E196=1,1,0)</f>
        <v/>
      </c>
      <c r="G196" s="12">
        <f>IF(AND(E196&lt;&gt;"",E196&lt;=5),1,0)</f>
        <v/>
      </c>
      <c r="H196" s="11" t="inlineStr">
        <is>
          <t>brand/voice-guide#vocabulary</t>
        </is>
      </c>
      <c r="I196" s="11" t="inlineStr">
        <is>
          <t>brand/claims-policy#cp-04</t>
        </is>
      </c>
      <c r="J196" s="11" t="inlineStr">
        <is>
          <t>creative/brief-template#overview</t>
        </is>
      </c>
      <c r="K196" s="11" t="inlineStr">
        <is>
          <t>sop/influencer-brief#mandatory-brief-sections</t>
        </is>
      </c>
    </row>
    <row r="197">
      <c r="A197" s="5" t="inlineStr">
        <is>
          <t>V49</t>
        </is>
      </c>
      <c r="B197" s="5" t="inlineStr">
        <is>
          <t>Brand</t>
        </is>
      </c>
      <c r="C197" s="5" t="inlineStr">
        <is>
          <t>Tiếng Anh</t>
        </is>
      </c>
      <c r="D197" s="11" t="inlineStr">
        <is>
          <t>What is Glow Recipe's tagline?</t>
        </is>
      </c>
      <c r="E197" s="12" t="n">
        <v>1</v>
      </c>
      <c r="F197" s="12">
        <f>IF(E197=1,1,0)</f>
        <v/>
      </c>
      <c r="G197" s="12">
        <f>IF(AND(E197&lt;&gt;"",E197&lt;=5),1,0)</f>
        <v/>
      </c>
      <c r="H197" s="11" t="inlineStr">
        <is>
          <t>brand/brand-overview#positioning</t>
        </is>
      </c>
      <c r="I197" s="11" t="inlineStr">
        <is>
          <t>brand/brand-overview#positioning</t>
        </is>
      </c>
      <c r="J197" s="11" t="inlineStr">
        <is>
          <t>brand/brand-overview#public-commitments</t>
        </is>
      </c>
      <c r="K197" s="11" t="inlineStr">
        <is>
          <t>research/insights-overview#overview</t>
        </is>
      </c>
    </row>
    <row r="198">
      <c r="A198" s="5" t="inlineStr">
        <is>
          <t>V49</t>
        </is>
      </c>
      <c r="B198" s="5" t="inlineStr">
        <is>
          <t>Brand</t>
        </is>
      </c>
      <c r="C198" s="5" t="inlineStr">
        <is>
          <t>Tiếng Việt có dấu</t>
        </is>
      </c>
      <c r="D198" s="11" t="inlineStr">
        <is>
          <t>Tagline của Glow Recipe là gì?</t>
        </is>
      </c>
      <c r="E198" s="12" t="n">
        <v>1</v>
      </c>
      <c r="F198" s="12">
        <f>IF(E198=1,1,0)</f>
        <v/>
      </c>
      <c r="G198" s="12">
        <f>IF(AND(E198&lt;&gt;"",E198&lt;=5),1,0)</f>
        <v/>
      </c>
      <c r="H198" s="11" t="inlineStr">
        <is>
          <t>brand/brand-overview#positioning</t>
        </is>
      </c>
      <c r="I198" s="11" t="inlineStr">
        <is>
          <t>brand/brand-overview#positioning</t>
        </is>
      </c>
      <c r="J198" s="11" t="inlineStr">
        <is>
          <t>brand/brand-overview#public-commitments</t>
        </is>
      </c>
      <c r="K198" s="11" t="inlineStr">
        <is>
          <t>research/insights-overview#overview</t>
        </is>
      </c>
    </row>
    <row r="199">
      <c r="A199" s="5" t="inlineStr">
        <is>
          <t>V49</t>
        </is>
      </c>
      <c r="B199" s="5" t="inlineStr">
        <is>
          <t>Brand</t>
        </is>
      </c>
      <c r="C199" s="5" t="inlineStr">
        <is>
          <t>Không dấu</t>
        </is>
      </c>
      <c r="D199" s="11" t="inlineStr">
        <is>
          <t>Tagline cua Glow Recipe la gi?</t>
        </is>
      </c>
      <c r="E199" s="12" t="n">
        <v>1</v>
      </c>
      <c r="F199" s="12">
        <f>IF(E199=1,1,0)</f>
        <v/>
      </c>
      <c r="G199" s="12">
        <f>IF(AND(E199&lt;&gt;"",E199&lt;=5),1,0)</f>
        <v/>
      </c>
      <c r="H199" s="11" t="inlineStr">
        <is>
          <t>brand/brand-overview#positioning</t>
        </is>
      </c>
      <c r="I199" s="11" t="inlineStr">
        <is>
          <t>brand/brand-overview#positioning</t>
        </is>
      </c>
      <c r="J199" s="11" t="inlineStr">
        <is>
          <t>brand/brand-overview#public-commitments</t>
        </is>
      </c>
      <c r="K199" s="11" t="inlineStr">
        <is>
          <t>brand/brand-overview#product-lines-from-the-catalog-in-this-knowledge-base</t>
        </is>
      </c>
    </row>
    <row r="200">
      <c r="A200" s="5" t="inlineStr">
        <is>
          <t>V49</t>
        </is>
      </c>
      <c r="B200" s="5" t="inlineStr">
        <is>
          <t>Brand</t>
        </is>
      </c>
      <c r="C200" s="5" t="inlineStr">
        <is>
          <t>Kiểu chat</t>
        </is>
      </c>
      <c r="D200" s="11" t="inlineStr">
        <is>
          <t>slogan glow recipe la gi</t>
        </is>
      </c>
      <c r="E200" s="12" t="n">
        <v>1</v>
      </c>
      <c r="F200" s="12">
        <f>IF(E200=1,1,0)</f>
        <v/>
      </c>
      <c r="G200" s="12">
        <f>IF(AND(E200&lt;&gt;"",E200&lt;=5),1,0)</f>
        <v/>
      </c>
      <c r="H200" s="11" t="inlineStr">
        <is>
          <t>brand/brand-overview#positioning</t>
        </is>
      </c>
      <c r="I200" s="11" t="inlineStr">
        <is>
          <t>brand/brand-overview#positioning</t>
        </is>
      </c>
      <c r="J200" s="11" t="inlineStr">
        <is>
          <t>brand/brand-overview#public-commitments</t>
        </is>
      </c>
      <c r="K200" s="11" t="inlineStr">
        <is>
          <t>brand/brand-overview#voice-signals-seen-publicly</t>
        </is>
      </c>
    </row>
    <row r="201">
      <c r="A201" s="5" t="inlineStr">
        <is>
          <t>V50</t>
        </is>
      </c>
      <c r="B201" s="5" t="inlineStr">
        <is>
          <t>Brand</t>
        </is>
      </c>
      <c r="C201" s="5" t="inlineStr">
        <is>
          <t>Tiếng Anh</t>
        </is>
      </c>
      <c r="D201" s="11" t="inlineStr">
        <is>
          <t>What sections does a creative brief need?</t>
        </is>
      </c>
      <c r="E201" s="12" t="n">
        <v>1</v>
      </c>
      <c r="F201" s="12">
        <f>IF(E201=1,1,0)</f>
        <v/>
      </c>
      <c r="G201" s="12">
        <f>IF(AND(E201&lt;&gt;"",E201&lt;=5),1,0)</f>
        <v/>
      </c>
      <c r="H201" s="11" t="inlineStr">
        <is>
          <t>creative/brief-template#overview</t>
        </is>
      </c>
      <c r="I201" s="11" t="inlineStr">
        <is>
          <t>creative/brief-template#overview</t>
        </is>
      </c>
      <c r="J201" s="11" t="inlineStr">
        <is>
          <t>sop/influencer-brief#steps</t>
        </is>
      </c>
      <c r="K201" s="11" t="inlineStr">
        <is>
          <t>sop/influencer-brief#mandatory-brief-sections</t>
        </is>
      </c>
    </row>
    <row r="202">
      <c r="A202" s="5" t="inlineStr">
        <is>
          <t>V50</t>
        </is>
      </c>
      <c r="B202" s="5" t="inlineStr">
        <is>
          <t>Brand</t>
        </is>
      </c>
      <c r="C202" s="5" t="inlineStr">
        <is>
          <t>Tiếng Việt có dấu</t>
        </is>
      </c>
      <c r="D202" s="11" t="inlineStr">
        <is>
          <t>Creative brief cần những phần nào?</t>
        </is>
      </c>
      <c r="E202" s="12" t="n">
        <v>1</v>
      </c>
      <c r="F202" s="12">
        <f>IF(E202=1,1,0)</f>
        <v/>
      </c>
      <c r="G202" s="12">
        <f>IF(AND(E202&lt;&gt;"",E202&lt;=5),1,0)</f>
        <v/>
      </c>
      <c r="H202" s="11" t="inlineStr">
        <is>
          <t>creative/brief-template#overview</t>
        </is>
      </c>
      <c r="I202" s="11" t="inlineStr">
        <is>
          <t>creative/brief-template#overview</t>
        </is>
      </c>
      <c r="J202" s="11" t="inlineStr">
        <is>
          <t>sop/influencer-brief#steps</t>
        </is>
      </c>
      <c r="K202" s="11" t="inlineStr">
        <is>
          <t>sop/influencer-brief#mandatory-brief-sections</t>
        </is>
      </c>
    </row>
    <row r="203">
      <c r="A203" s="5" t="inlineStr">
        <is>
          <t>V50</t>
        </is>
      </c>
      <c r="B203" s="5" t="inlineStr">
        <is>
          <t>Brand</t>
        </is>
      </c>
      <c r="C203" s="5" t="inlineStr">
        <is>
          <t>Không dấu</t>
        </is>
      </c>
      <c r="D203" s="11" t="inlineStr">
        <is>
          <t>Creative brief can nhung phan nao?</t>
        </is>
      </c>
      <c r="E203" s="12" t="n">
        <v>1</v>
      </c>
      <c r="F203" s="12">
        <f>IF(E203=1,1,0)</f>
        <v/>
      </c>
      <c r="G203" s="12">
        <f>IF(AND(E203&lt;&gt;"",E203&lt;=5),1,0)</f>
        <v/>
      </c>
      <c r="H203" s="11" t="inlineStr">
        <is>
          <t>creative/brief-template#overview</t>
        </is>
      </c>
      <c r="I203" s="11" t="inlineStr">
        <is>
          <t>creative/brief-template#overview</t>
        </is>
      </c>
      <c r="J203" s="11" t="inlineStr">
        <is>
          <t>sop/influencer-brief#steps</t>
        </is>
      </c>
      <c r="K203" s="11" t="inlineStr">
        <is>
          <t>sop/influencer-brief#mandatory-brief-sections</t>
        </is>
      </c>
    </row>
    <row r="204">
      <c r="A204" s="5" t="inlineStr">
        <is>
          <t>V50</t>
        </is>
      </c>
      <c r="B204" s="5" t="inlineStr">
        <is>
          <t>Brand</t>
        </is>
      </c>
      <c r="C204" s="5" t="inlineStr">
        <is>
          <t>Kiểu chat</t>
        </is>
      </c>
      <c r="D204" s="11" t="inlineStr">
        <is>
          <t>brief can co nhung muc gi</t>
        </is>
      </c>
      <c r="E204" s="12" t="n">
        <v>1</v>
      </c>
      <c r="F204" s="12">
        <f>IF(E204=1,1,0)</f>
        <v/>
      </c>
      <c r="G204" s="12">
        <f>IF(AND(E204&lt;&gt;"",E204&lt;=5),1,0)</f>
        <v/>
      </c>
      <c r="H204" s="11" t="inlineStr">
        <is>
          <t>creative/brief-template#overview</t>
        </is>
      </c>
      <c r="I204" s="11" t="inlineStr">
        <is>
          <t>creative/brief-template#overview</t>
        </is>
      </c>
      <c r="J204" s="11" t="inlineStr">
        <is>
          <t>sop/influencer-brief#steps</t>
        </is>
      </c>
      <c r="K204" s="11" t="inlineStr">
        <is>
          <t>sop/influencer-brief#mandatory-brief-sections</t>
        </is>
      </c>
    </row>
    <row r="205">
      <c r="A205" s="5" t="inlineStr">
        <is>
          <t>V51</t>
        </is>
      </c>
      <c r="B205" s="5" t="inlineStr">
        <is>
          <t>Khoảng trống dữ liệu</t>
        </is>
      </c>
      <c r="C205" s="5" t="inlineStr">
        <is>
          <t>Tiếng Anh</t>
        </is>
      </c>
      <c r="D205" s="11" t="inlineStr">
        <is>
          <t>Is the sunscreen broad spectrum?</t>
        </is>
      </c>
      <c r="E205" s="12" t="n">
        <v>1</v>
      </c>
      <c r="F205" s="12">
        <f>IF(E205=1,1,0)</f>
        <v/>
      </c>
      <c r="G205" s="12">
        <f>IF(AND(E205&lt;&gt;"",E205&lt;=5),1,0)</f>
        <v/>
      </c>
      <c r="H205" s="11" t="inlineStr">
        <is>
          <t>brand/claims-policy#cp-05
compliance/fda-sunscreen-labeling#relevance
compliance/fda-sunscreen-labeling#other-points
sop/ad-claim-review#claims-register-status</t>
        </is>
      </c>
      <c r="I205" s="11" t="inlineStr">
        <is>
          <t>compliance/fda-sunscreen-labeling#relevance</t>
        </is>
      </c>
      <c r="J205" s="11" t="inlineStr">
        <is>
          <t>compliance/fda-sunscreen-labeling#other-points</t>
        </is>
      </c>
      <c r="K205" s="11" t="inlineStr">
        <is>
          <t>brand/claims-policy#cp-05</t>
        </is>
      </c>
    </row>
    <row r="206">
      <c r="A206" s="5" t="inlineStr">
        <is>
          <t>V51</t>
        </is>
      </c>
      <c r="B206" s="5" t="inlineStr">
        <is>
          <t>Khoảng trống dữ liệu</t>
        </is>
      </c>
      <c r="C206" s="5" t="inlineStr">
        <is>
          <t>Tiếng Việt có dấu</t>
        </is>
      </c>
      <c r="D206" s="11" t="inlineStr">
        <is>
          <t>Kem chống nắng có phổ rộng (broad spectrum) không?</t>
        </is>
      </c>
      <c r="E206" s="12" t="n">
        <v>1</v>
      </c>
      <c r="F206" s="12">
        <f>IF(E206=1,1,0)</f>
        <v/>
      </c>
      <c r="G206" s="12">
        <f>IF(AND(E206&lt;&gt;"",E206&lt;=5),1,0)</f>
        <v/>
      </c>
      <c r="H206" s="11" t="inlineStr">
        <is>
          <t>brand/claims-policy#cp-05
compliance/fda-sunscreen-labeling#relevance
compliance/fda-sunscreen-labeling#other-points
sop/ad-claim-review#claims-register-status</t>
        </is>
      </c>
      <c r="I206" s="11" t="inlineStr">
        <is>
          <t>compliance/fda-sunscreen-labeling#relevance</t>
        </is>
      </c>
      <c r="J206" s="11" t="inlineStr">
        <is>
          <t>compliance/fda-sunscreen-labeling#other-points</t>
        </is>
      </c>
      <c r="K206" s="11" t="inlineStr">
        <is>
          <t>brand/claims-policy#cp-05</t>
        </is>
      </c>
    </row>
    <row r="207">
      <c r="A207" s="5" t="inlineStr">
        <is>
          <t>V51</t>
        </is>
      </c>
      <c r="B207" s="5" t="inlineStr">
        <is>
          <t>Khoảng trống dữ liệu</t>
        </is>
      </c>
      <c r="C207" s="5" t="inlineStr">
        <is>
          <t>Không dấu</t>
        </is>
      </c>
      <c r="D207" s="11" t="inlineStr">
        <is>
          <t>Kem chong nang co pho rong (broad spectrum) khong?</t>
        </is>
      </c>
      <c r="E207" s="12" t="n">
        <v>1</v>
      </c>
      <c r="F207" s="12">
        <f>IF(E207=1,1,0)</f>
        <v/>
      </c>
      <c r="G207" s="12">
        <f>IF(AND(E207&lt;&gt;"",E207&lt;=5),1,0)</f>
        <v/>
      </c>
      <c r="H207" s="11" t="inlineStr">
        <is>
          <t>brand/claims-policy#cp-05
compliance/fda-sunscreen-labeling#relevance
compliance/fda-sunscreen-labeling#other-points
sop/ad-claim-review#claims-register-status</t>
        </is>
      </c>
      <c r="I207" s="11" t="inlineStr">
        <is>
          <t>compliance/fda-sunscreen-labeling#other-points</t>
        </is>
      </c>
      <c r="J207" s="11" t="inlineStr">
        <is>
          <t>compliance/fda-sunscreen-labeling#relevance</t>
        </is>
      </c>
      <c r="K207" s="11" t="inlineStr">
        <is>
          <t>sop/ad-claim-review#claims-register-status-as-of-2023-04-01</t>
        </is>
      </c>
    </row>
    <row r="208">
      <c r="A208" s="5" t="inlineStr">
        <is>
          <t>V51</t>
        </is>
      </c>
      <c r="B208" s="5" t="inlineStr">
        <is>
          <t>Khoảng trống dữ liệu</t>
        </is>
      </c>
      <c r="C208" s="5" t="inlineStr">
        <is>
          <t>Kiểu chat</t>
        </is>
      </c>
      <c r="D208" s="11" t="inlineStr">
        <is>
          <t>kcn co broad spectrum ko</t>
        </is>
      </c>
      <c r="E208" s="12" t="n">
        <v>1</v>
      </c>
      <c r="F208" s="12">
        <f>IF(E208=1,1,0)</f>
        <v/>
      </c>
      <c r="G208" s="12">
        <f>IF(AND(E208&lt;&gt;"",E208&lt;=5),1,0)</f>
        <v/>
      </c>
      <c r="H208" s="11" t="inlineStr">
        <is>
          <t>brand/claims-policy#cp-05
compliance/fda-sunscreen-labeling#relevance
compliance/fda-sunscreen-labeling#other-points
sop/ad-claim-review#claims-register-status</t>
        </is>
      </c>
      <c r="I208" s="11" t="inlineStr">
        <is>
          <t>compliance/fda-sunscreen-labeling#other-points</t>
        </is>
      </c>
      <c r="J208" s="11" t="inlineStr">
        <is>
          <t>compliance/fda-sunscreen-labeling#relevance</t>
        </is>
      </c>
      <c r="K208" s="11" t="inlineStr">
        <is>
          <t>brand/claims-policy#cp-05</t>
        </is>
      </c>
    </row>
    <row r="209">
      <c r="A209" s="5" t="inlineStr">
        <is>
          <t>V52</t>
        </is>
      </c>
      <c r="B209" s="5" t="inlineStr">
        <is>
          <t>Khoảng trống dữ liệu</t>
        </is>
      </c>
      <c r="C209" s="5" t="inlineStr">
        <is>
          <t>Tiếng Anh</t>
        </is>
      </c>
      <c r="D209" s="11" t="inlineStr">
        <is>
          <t>Do we have clinical studies for any product?</t>
        </is>
      </c>
      <c r="E209" s="12" t="n">
        <v>1</v>
      </c>
      <c r="F209" s="12">
        <f>IF(E209=1,1,0)</f>
        <v/>
      </c>
      <c r="G209" s="12">
        <f>IF(AND(E209&lt;&gt;"",E209&lt;=5),1,0)</f>
        <v/>
      </c>
      <c r="H209" s="11" t="inlineStr">
        <is>
          <t>compliance/ftc-health-claims#practical-implications
brand/claims-policy#cp-06
sop/ad-claim-review#claims-register-status
brand/brand-overview#not-in-the-knowledge-base</t>
        </is>
      </c>
      <c r="I209" s="11" t="inlineStr">
        <is>
          <t>brand/claims-policy#cp-06</t>
        </is>
      </c>
      <c r="J209" s="11" t="inlineStr">
        <is>
          <t>compliance/ftc-health-claims#practical-implications-knowledge-base-s-reading</t>
        </is>
      </c>
      <c r="K209" s="11" t="inlineStr">
        <is>
          <t>compliance/ftc-health-claims#1-every-objective-claim-needs-substantiation</t>
        </is>
      </c>
    </row>
    <row r="210">
      <c r="A210" s="5" t="inlineStr">
        <is>
          <t>V52</t>
        </is>
      </c>
      <c r="B210" s="5" t="inlineStr">
        <is>
          <t>Khoảng trống dữ liệu</t>
        </is>
      </c>
      <c r="C210" s="5" t="inlineStr">
        <is>
          <t>Tiếng Việt có dấu</t>
        </is>
      </c>
      <c r="D210" s="11" t="inlineStr">
        <is>
          <t>Có nghiên cứu lâm sàng nào cho sản phẩm không?</t>
        </is>
      </c>
      <c r="E210" s="12" t="n">
        <v>1</v>
      </c>
      <c r="F210" s="12">
        <f>IF(E210=1,1,0)</f>
        <v/>
      </c>
      <c r="G210" s="12">
        <f>IF(AND(E210&lt;&gt;"",E210&lt;=5),1,0)</f>
        <v/>
      </c>
      <c r="H210" s="11" t="inlineStr">
        <is>
          <t>compliance/ftc-health-claims#practical-implications
brand/claims-policy#cp-06
sop/ad-claim-review#claims-register-status
brand/brand-overview#not-in-the-knowledge-base</t>
        </is>
      </c>
      <c r="I210" s="11" t="inlineStr">
        <is>
          <t>brand/claims-policy#cp-06</t>
        </is>
      </c>
      <c r="J210" s="11" t="inlineStr">
        <is>
          <t>compliance/ftc-health-claims#practical-implications-knowledge-base-s-reading</t>
        </is>
      </c>
      <c r="K210" s="11" t="inlineStr">
        <is>
          <t>creative/learnings-2023#open-questions-and-data-gaps</t>
        </is>
      </c>
    </row>
    <row r="211">
      <c r="A211" s="5" t="inlineStr">
        <is>
          <t>V52</t>
        </is>
      </c>
      <c r="B211" s="5" t="inlineStr">
        <is>
          <t>Khoảng trống dữ liệu</t>
        </is>
      </c>
      <c r="C211" s="5" t="inlineStr">
        <is>
          <t>Không dấu</t>
        </is>
      </c>
      <c r="D211" s="11" t="inlineStr">
        <is>
          <t>Co nghien cuu lam sang nao cho san pham khong?</t>
        </is>
      </c>
      <c r="E211" s="12" t="n">
        <v>2</v>
      </c>
      <c r="F211" s="12">
        <f>IF(E211=1,1,0)</f>
        <v/>
      </c>
      <c r="G211" s="12">
        <f>IF(AND(E211&lt;&gt;"",E211&lt;=5),1,0)</f>
        <v/>
      </c>
      <c r="H211" s="11" t="inlineStr">
        <is>
          <t>compliance/ftc-health-claims#practical-implications
brand/claims-policy#cp-06
sop/ad-claim-review#claims-register-status
brand/brand-overview#not-in-the-knowledge-base</t>
        </is>
      </c>
      <c r="I211" s="11" t="inlineStr">
        <is>
          <t>sop/influencer-brief#product-specific-notes-from-customer-research</t>
        </is>
      </c>
      <c r="J211" s="11" t="inlineStr">
        <is>
          <t>brand/claims-policy#cp-06</t>
        </is>
      </c>
      <c r="K211" s="11" t="inlineStr">
        <is>
          <t>brand/voice-guide#examples</t>
        </is>
      </c>
    </row>
    <row r="212">
      <c r="A212" s="5" t="inlineStr">
        <is>
          <t>V52</t>
        </is>
      </c>
      <c r="B212" s="5" t="inlineStr">
        <is>
          <t>Khoảng trống dữ liệu</t>
        </is>
      </c>
      <c r="C212" s="5" t="inlineStr">
        <is>
          <t>Kiểu chat</t>
        </is>
      </c>
      <c r="D212" s="11" t="inlineStr">
        <is>
          <t>co nghien cuu lam sang ko</t>
        </is>
      </c>
      <c r="E212" s="12" t="n">
        <v>1</v>
      </c>
      <c r="F212" s="12">
        <f>IF(E212=1,1,0)</f>
        <v/>
      </c>
      <c r="G212" s="12">
        <f>IF(AND(E212&lt;&gt;"",E212&lt;=5),1,0)</f>
        <v/>
      </c>
      <c r="H212" s="11" t="inlineStr">
        <is>
          <t>compliance/ftc-health-claims#practical-implications
brand/claims-policy#cp-06
sop/ad-claim-review#claims-register-status
brand/brand-overview#not-in-the-knowledge-base</t>
        </is>
      </c>
      <c r="I212" s="11" t="inlineStr">
        <is>
          <t>brand/claims-policy#cp-06</t>
        </is>
      </c>
      <c r="J212" s="11" t="inlineStr">
        <is>
          <t>sop/influencer-brief#product-specific-notes-from-customer-research</t>
        </is>
      </c>
      <c r="K212" s="11" t="inlineStr">
        <is>
          <t>brand/voice-guide#examples</t>
        </is>
      </c>
    </row>
    <row r="213">
      <c r="A213" s="5" t="inlineStr">
        <is>
          <t>V53</t>
        </is>
      </c>
      <c r="B213" s="5" t="inlineStr">
        <is>
          <t>Khoảng trống dữ liệu</t>
        </is>
      </c>
      <c r="C213" s="5" t="inlineStr">
        <is>
          <t>Tiếng Anh</t>
        </is>
      </c>
      <c r="D213" s="11" t="inlineStr">
        <is>
          <t>What do customers think of the Pink Dream body cream?</t>
        </is>
      </c>
      <c r="E213" s="12" t="n">
        <v>1</v>
      </c>
      <c r="F213" s="12">
        <f>IF(E213=1,1,0)</f>
        <v/>
      </c>
      <c r="G213" s="12">
        <f>IF(AND(E213&lt;&gt;"",E213&lt;=5),1,0)</f>
        <v/>
      </c>
      <c r="H213" s="11" t="inlineStr">
        <is>
          <t>product/P469211
research/insights-overview#known-gaps</t>
        </is>
      </c>
      <c r="I213" s="11" t="inlineStr">
        <is>
          <t>research/insights-overview#known-gaps</t>
        </is>
      </c>
      <c r="J213" s="11" t="inlineStr">
        <is>
          <t>product/P469211#overview</t>
        </is>
      </c>
      <c r="K213" s="11" t="inlineStr">
        <is>
          <t>product/P469211#ingredients</t>
        </is>
      </c>
    </row>
    <row r="214">
      <c r="A214" s="5" t="inlineStr">
        <is>
          <t>V53</t>
        </is>
      </c>
      <c r="B214" s="5" t="inlineStr">
        <is>
          <t>Khoảng trống dữ liệu</t>
        </is>
      </c>
      <c r="C214" s="5" t="inlineStr">
        <is>
          <t>Tiếng Việt có dấu</t>
        </is>
      </c>
      <c r="D214" s="11" t="inlineStr">
        <is>
          <t>Khách nghĩ gì về kem dưỡng thể Pink Dream?</t>
        </is>
      </c>
      <c r="E214" s="12" t="n">
        <v>1</v>
      </c>
      <c r="F214" s="12">
        <f>IF(E214=1,1,0)</f>
        <v/>
      </c>
      <c r="G214" s="12">
        <f>IF(AND(E214&lt;&gt;"",E214&lt;=5),1,0)</f>
        <v/>
      </c>
      <c r="H214" s="11" t="inlineStr">
        <is>
          <t>product/P469211
research/insights-overview#known-gaps</t>
        </is>
      </c>
      <c r="I214" s="11" t="inlineStr">
        <is>
          <t>research/insights-overview#known-gaps</t>
        </is>
      </c>
      <c r="J214" s="11" t="inlineStr">
        <is>
          <t>product/P469211#overview</t>
        </is>
      </c>
      <c r="K214" s="11" t="inlineStr">
        <is>
          <t>catalog/overview#products-by-type</t>
        </is>
      </c>
    </row>
    <row r="215">
      <c r="A215" s="5" t="inlineStr">
        <is>
          <t>V53</t>
        </is>
      </c>
      <c r="B215" s="5" t="inlineStr">
        <is>
          <t>Khoảng trống dữ liệu</t>
        </is>
      </c>
      <c r="C215" s="5" t="inlineStr">
        <is>
          <t>Không dấu</t>
        </is>
      </c>
      <c r="D215" s="11" t="inlineStr">
        <is>
          <t>Khach nghi gi ve kem duong the Pink Dream?</t>
        </is>
      </c>
      <c r="E215" s="12" t="n">
        <v>1</v>
      </c>
      <c r="F215" s="12">
        <f>IF(E215=1,1,0)</f>
        <v/>
      </c>
      <c r="G215" s="12">
        <f>IF(AND(E215&lt;&gt;"",E215&lt;=5),1,0)</f>
        <v/>
      </c>
      <c r="H215" s="11" t="inlineStr">
        <is>
          <t>product/P469211
research/insights-overview#known-gaps</t>
        </is>
      </c>
      <c r="I215" s="11" t="inlineStr">
        <is>
          <t>research/insights-overview#known-gaps</t>
        </is>
      </c>
      <c r="J215" s="11" t="inlineStr">
        <is>
          <t>product/P469211#overview</t>
        </is>
      </c>
      <c r="K215" s="11" t="inlineStr">
        <is>
          <t>catalog/overview#products-by-type</t>
        </is>
      </c>
    </row>
    <row r="216">
      <c r="A216" s="5" t="inlineStr">
        <is>
          <t>V53</t>
        </is>
      </c>
      <c r="B216" s="5" t="inlineStr">
        <is>
          <t>Khoảng trống dữ liệu</t>
        </is>
      </c>
      <c r="C216" s="5" t="inlineStr">
        <is>
          <t>Kiểu chat</t>
        </is>
      </c>
      <c r="D216" s="11" t="inlineStr">
        <is>
          <t>kem body pink dream review sao</t>
        </is>
      </c>
      <c r="E216" s="12" t="n">
        <v>1</v>
      </c>
      <c r="F216" s="12">
        <f>IF(E216=1,1,0)</f>
        <v/>
      </c>
      <c r="G216" s="12">
        <f>IF(AND(E216&lt;&gt;"",E216&lt;=5),1,0)</f>
        <v/>
      </c>
      <c r="H216" s="11" t="inlineStr">
        <is>
          <t>product/P469211
research/insights-overview#known-gaps</t>
        </is>
      </c>
      <c r="I216" s="11" t="inlineStr">
        <is>
          <t>product/P469211#overview</t>
        </is>
      </c>
      <c r="J216" s="11" t="inlineStr">
        <is>
          <t>product/P469211#ingredients</t>
        </is>
      </c>
      <c r="K216" s="11" t="inlineStr">
        <is>
          <t>research/insights-overview#known-gaps</t>
        </is>
      </c>
    </row>
  </sheetData>
  <autoFilter ref="A4:K216"/>
  <conditionalFormatting sqref="G5:G216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55" customWidth="1" min="3" max="3"/>
    <col width="12" customWidth="1" min="4" max="4"/>
    <col width="12" customWidth="1" min="5" max="5"/>
    <col width="12" customWidth="1" min="6" max="6"/>
    <col width="12" customWidth="1" min="7" max="7"/>
    <col width="45" customWidth="1" min="8" max="8"/>
  </cols>
  <sheetData>
    <row r="1">
      <c r="A1" s="1" t="inlineStr">
        <is>
          <t>Tìm tài liệu trong kb: hạng của chunk đúng theo từng câu</t>
        </is>
      </c>
    </row>
    <row r="2">
      <c r="A2" s="2" t="inlineStr">
        <is>
          <t>Xanh = hạng 1, vàng = hạng 2-5, đỏ = ngoài top 5 hoặc không tìm thấy (ô trống).</t>
        </is>
      </c>
    </row>
    <row r="4">
      <c r="A4" s="4" t="inlineStr">
        <is>
          <t>ID</t>
        </is>
      </c>
      <c r="B4" s="4" t="inlineStr">
        <is>
          <t>Nhóm</t>
        </is>
      </c>
      <c r="C4" s="4" t="inlineStr">
        <is>
          <t>Câu hỏi (tiếng Việt)</t>
        </is>
      </c>
      <c r="D4" s="4" t="inlineStr">
        <is>
          <t>Tiếng Anh</t>
        </is>
      </c>
      <c r="E4" s="4" t="inlineStr">
        <is>
          <t>Tiếng Việt có dấu</t>
        </is>
      </c>
      <c r="F4" s="4" t="inlineStr">
        <is>
          <t>Không dấu</t>
        </is>
      </c>
      <c r="G4" s="4" t="inlineStr">
        <is>
          <t>Kiểu chat</t>
        </is>
      </c>
      <c r="H4" s="4" t="inlineStr">
        <is>
          <t>Đáp án mong đợi</t>
        </is>
      </c>
    </row>
    <row r="5">
      <c r="A5" s="5" t="inlineStr">
        <is>
          <t>V01</t>
        </is>
      </c>
      <c r="B5" s="5" t="inlineStr">
        <is>
          <t>Sản phẩm</t>
        </is>
      </c>
      <c r="C5" s="11" t="inlineStr">
        <is>
          <t>Serum Avocado phục hồi hàng rào da giá bao nhiêu?</t>
        </is>
      </c>
      <c r="D5" s="12" t="n">
        <v>1</v>
      </c>
      <c r="E5" s="12" t="n">
        <v>1</v>
      </c>
      <c r="F5" s="12" t="n">
        <v>2</v>
      </c>
      <c r="G5" s="12" t="n">
        <v>5</v>
      </c>
      <c r="H5" s="11" t="inlineStr">
        <is>
          <t>product/P470529#overview</t>
        </is>
      </c>
    </row>
    <row r="6">
      <c r="A6" s="5" t="inlineStr">
        <is>
          <t>V02</t>
        </is>
      </c>
      <c r="B6" s="5" t="inlineStr">
        <is>
          <t>Sản phẩm</t>
        </is>
      </c>
      <c r="C6" s="11" t="inlineStr">
        <is>
          <t>Kem mắt Guava có vitamin C không?</t>
        </is>
      </c>
      <c r="D6" s="12" t="n">
        <v>2</v>
      </c>
      <c r="E6" s="12" t="n">
        <v>2</v>
      </c>
      <c r="F6" s="12" t="n">
        <v>1</v>
      </c>
      <c r="G6" s="12" t="n">
        <v>1</v>
      </c>
      <c r="H6" s="11" t="inlineStr">
        <is>
          <t>product/P501760</t>
        </is>
      </c>
    </row>
    <row r="7">
      <c r="A7" s="5" t="inlineStr">
        <is>
          <t>V03</t>
        </is>
      </c>
      <c r="B7" s="5" t="inlineStr">
        <is>
          <t>Sản phẩm</t>
        </is>
      </c>
      <c r="C7" s="11" t="inlineStr">
        <is>
          <t>Xịt khoáng Watermelon Glow dung tích bao nhiêu?</t>
        </is>
      </c>
      <c r="D7" s="12" t="n">
        <v>1</v>
      </c>
      <c r="E7" s="12" t="n">
        <v>1</v>
      </c>
      <c r="F7" s="12" t="n">
        <v>2</v>
      </c>
      <c r="G7" s="12" t="n">
        <v>2</v>
      </c>
      <c r="H7" s="11" t="inlineStr">
        <is>
          <t>product/P442744#overview</t>
        </is>
      </c>
    </row>
    <row r="8">
      <c r="A8" s="5" t="inlineStr">
        <is>
          <t>V04</t>
        </is>
      </c>
      <c r="B8" s="5" t="inlineStr">
        <is>
          <t>Sản phẩm</t>
        </is>
      </c>
      <c r="C8" s="11" t="inlineStr">
        <is>
          <t>Kem dưỡng Plum Plump có bản mini không?</t>
        </is>
      </c>
      <c r="D8" s="12" t="n">
        <v>1</v>
      </c>
      <c r="E8" s="12" t="n">
        <v>1</v>
      </c>
      <c r="F8" s="12" t="n">
        <v>1</v>
      </c>
      <c r="G8" s="12" t="n">
        <v>6</v>
      </c>
      <c r="H8" s="11" t="inlineStr">
        <is>
          <t>product/P500472
product/P479327</t>
        </is>
      </c>
    </row>
    <row r="9">
      <c r="A9" s="5" t="inlineStr">
        <is>
          <t>V05</t>
        </is>
      </c>
      <c r="B9" s="5" t="inlineStr">
        <is>
          <t>Sản phẩm</t>
        </is>
      </c>
      <c r="C9" s="11" t="inlineStr">
        <is>
          <t>Sản phẩm nào là kem chống nắng?</t>
        </is>
      </c>
      <c r="D9" s="12" t="n">
        <v>1</v>
      </c>
      <c r="E9" s="12" t="n">
        <v>1</v>
      </c>
      <c r="F9" s="12" t="n">
        <v>2</v>
      </c>
      <c r="G9" s="12" t="n">
        <v>1</v>
      </c>
      <c r="H9" s="11" t="inlineStr">
        <is>
          <t>product/P481989</t>
        </is>
      </c>
    </row>
    <row r="10">
      <c r="A10" s="5" t="inlineStr">
        <is>
          <t>V06</t>
        </is>
      </c>
      <c r="B10" s="5" t="inlineStr">
        <is>
          <t>Sản phẩm</t>
        </is>
      </c>
      <c r="C10" s="11" t="inlineStr">
        <is>
          <t>Sữa rửa mặt Avocado có thành phần gì?</t>
        </is>
      </c>
      <c r="D10" s="12" t="n">
        <v>1</v>
      </c>
      <c r="E10" s="12" t="n">
        <v>2</v>
      </c>
      <c r="F10" s="12" t="n">
        <v>4</v>
      </c>
      <c r="G10" s="12" t="n">
        <v>5</v>
      </c>
      <c r="H10" s="11" t="inlineStr">
        <is>
          <t>product/P503634</t>
        </is>
      </c>
    </row>
    <row r="11">
      <c r="A11" s="5" t="inlineStr">
        <is>
          <t>V07</t>
        </is>
      </c>
      <c r="B11" s="5" t="inlineStr">
        <is>
          <t>Sản phẩm</t>
        </is>
      </c>
      <c r="C11" s="11" t="inlineStr">
        <is>
          <t>Watermelon AHA Night Treatment có phải sản phẩm peel không?</t>
        </is>
      </c>
      <c r="D11" s="12" t="n">
        <v>1</v>
      </c>
      <c r="E11" s="12" t="n">
        <v>1</v>
      </c>
      <c r="F11" s="12" t="n">
        <v>1</v>
      </c>
      <c r="G11" s="12" t="n">
        <v>1</v>
      </c>
      <c r="H11" s="11" t="inlineStr">
        <is>
          <t>product/P501254
product/P501570</t>
        </is>
      </c>
    </row>
    <row r="12">
      <c r="A12" s="5" t="inlineStr">
        <is>
          <t>V08</t>
        </is>
      </c>
      <c r="B12" s="5" t="inlineStr">
        <is>
          <t>Insight</t>
        </is>
      </c>
      <c r="C12" s="11" t="inlineStr">
        <is>
          <t>Khách thích điều gì nhất ở serum Plum Plump?</t>
        </is>
      </c>
      <c r="D12" s="12" t="n">
        <v>3</v>
      </c>
      <c r="E12" s="12" t="n">
        <v>6</v>
      </c>
      <c r="F12" s="12" t="n">
        <v>6</v>
      </c>
      <c r="G12" s="12" t="n"/>
      <c r="H12" s="11" t="inlineStr">
        <is>
          <t>research/insights-P462699</t>
        </is>
      </c>
    </row>
    <row r="13">
      <c r="A13" s="5" t="inlineStr">
        <is>
          <t>V09</t>
        </is>
      </c>
      <c r="B13" s="5" t="inlineStr">
        <is>
          <t>Insight</t>
        </is>
      </c>
      <c r="C13" s="11" t="inlineStr">
        <is>
          <t>Theo review, kem mắt retinol có gây kích ứng không?</t>
        </is>
      </c>
      <c r="D13" s="12" t="n">
        <v>1</v>
      </c>
      <c r="E13" s="12" t="n">
        <v>1</v>
      </c>
      <c r="F13" s="12" t="n">
        <v>1</v>
      </c>
      <c r="G13" s="12" t="n">
        <v>2</v>
      </c>
      <c r="H13" s="11" t="inlineStr">
        <is>
          <t>research/insights-P447791</t>
        </is>
      </c>
    </row>
    <row r="14">
      <c r="A14" s="5" t="inlineStr">
        <is>
          <t>V10</t>
        </is>
      </c>
      <c r="B14" s="5" t="inlineStr">
        <is>
          <t>Insight</t>
        </is>
      </c>
      <c r="C14" s="11" t="inlineStr">
        <is>
          <t>Đánh giá sữa rửa mặt Blueberry thay đổi thế nào qua các năm?</t>
        </is>
      </c>
      <c r="D14" s="12" t="n">
        <v>1</v>
      </c>
      <c r="E14" s="12" t="n"/>
      <c r="F14" s="12" t="n"/>
      <c r="G14" s="12" t="n">
        <v>4</v>
      </c>
      <c r="H14" s="11" t="inlineStr">
        <is>
          <t>research/insights-P436359#by-year</t>
        </is>
      </c>
    </row>
    <row r="15">
      <c r="A15" s="5" t="inlineStr">
        <is>
          <t>V11</t>
        </is>
      </c>
      <c r="B15" s="5" t="inlineStr">
        <is>
          <t>Insight</t>
        </is>
      </c>
      <c r="C15" s="11" t="inlineStr">
        <is>
          <t>Loại da nào chấm Dew Drops cao nhất?</t>
        </is>
      </c>
      <c r="D15" s="12" t="n">
        <v>1</v>
      </c>
      <c r="E15" s="12" t="n">
        <v>4</v>
      </c>
      <c r="F15" s="12" t="n"/>
      <c r="G15" s="12" t="n"/>
      <c r="H15" s="11" t="inlineStr">
        <is>
          <t>research/insights-P466123#by-skin-type</t>
        </is>
      </c>
    </row>
    <row r="16">
      <c r="A16" s="5" t="inlineStr">
        <is>
          <t>V12</t>
        </is>
      </c>
      <c r="B16" s="5" t="inlineStr">
        <is>
          <t>Insight</t>
        </is>
      </c>
      <c r="C16" s="11" t="inlineStr">
        <is>
          <t>Khách có thấy kem dưỡng Watermelon Pink Juice bị dính không?</t>
        </is>
      </c>
      <c r="D16" s="12" t="n">
        <v>1</v>
      </c>
      <c r="E16" s="12" t="n">
        <v>2</v>
      </c>
      <c r="F16" s="12" t="n">
        <v>5</v>
      </c>
      <c r="G16" s="12" t="n">
        <v>1</v>
      </c>
      <c r="H16" s="11" t="inlineStr">
        <is>
          <t>research/insights-P428819</t>
        </is>
      </c>
    </row>
    <row r="17">
      <c r="A17" s="5" t="inlineStr">
        <is>
          <t>V13</t>
        </is>
      </c>
      <c r="B17" s="5" t="inlineStr">
        <is>
          <t>Insight</t>
        </is>
      </c>
      <c r="C17" s="11" t="inlineStr">
        <is>
          <t>Dòng sản phẩm nào có nhiều review nhất?</t>
        </is>
      </c>
      <c r="D17" s="12" t="n">
        <v>5</v>
      </c>
      <c r="E17" s="12" t="n"/>
      <c r="F17" s="12" t="n"/>
      <c r="G17" s="12" t="n"/>
      <c r="H17" s="11" t="inlineStr">
        <is>
          <t>research/insights-overview#by-product-line</t>
        </is>
      </c>
    </row>
    <row r="18">
      <c r="A18" s="5" t="inlineStr">
        <is>
          <t>V14</t>
        </is>
      </c>
      <c r="B18" s="5" t="inlineStr">
        <is>
          <t>Insight</t>
        </is>
      </c>
      <c r="C18" s="11" t="inlineStr">
        <is>
          <t>Bao nhiêu phần trăm review là từ người được tặng sản phẩm?</t>
        </is>
      </c>
      <c r="D18" s="12" t="n"/>
      <c r="E18" s="12" t="n"/>
      <c r="F18" s="12" t="n"/>
      <c r="G18" s="12" t="n"/>
      <c r="H18" s="11" t="inlineStr">
        <is>
          <t>research/insights-overview#overview</t>
        </is>
      </c>
    </row>
    <row r="19">
      <c r="A19" s="5" t="inlineStr">
        <is>
          <t>V15</t>
        </is>
      </c>
      <c r="B19" s="5" t="inlineStr">
        <is>
          <t>Insight</t>
        </is>
      </c>
      <c r="C19" s="11" t="inlineStr">
        <is>
          <t>Sáp tẩy trang Papaya được đánh giá thế nào?</t>
        </is>
      </c>
      <c r="D19" s="12" t="n">
        <v>2</v>
      </c>
      <c r="E19" s="12" t="n">
        <v>1</v>
      </c>
      <c r="F19" s="12" t="n">
        <v>2</v>
      </c>
      <c r="G19" s="12" t="n">
        <v>9</v>
      </c>
      <c r="H19" s="11" t="inlineStr">
        <is>
          <t>research/insights-P460516</t>
        </is>
      </c>
    </row>
    <row r="20">
      <c r="A20" s="5" t="inlineStr">
        <is>
          <t>V16</t>
        </is>
      </c>
      <c r="B20" s="5" t="inlineStr">
        <is>
          <t>Insight</t>
        </is>
      </c>
      <c r="C20" s="11" t="inlineStr">
        <is>
          <t>Nhìn chung khách nói gì về dòng Avocado?</t>
        </is>
      </c>
      <c r="D20" s="12" t="n">
        <v>1</v>
      </c>
      <c r="E20" s="12" t="n">
        <v>2</v>
      </c>
      <c r="F20" s="12" t="n">
        <v>2</v>
      </c>
      <c r="G20" s="12" t="n">
        <v>4</v>
      </c>
      <c r="H20" s="11" t="inlineStr">
        <is>
          <t>research/insights-line-avocado</t>
        </is>
      </c>
    </row>
    <row r="21">
      <c r="A21" s="5" t="inlineStr">
        <is>
          <t>V17</t>
        </is>
      </c>
      <c r="B21" s="5" t="inlineStr">
        <is>
          <t>Insight</t>
        </is>
      </c>
      <c r="C21" s="11" t="inlineStr">
        <is>
          <t>Theo review, serum Guava có giúp mờ thâm không?</t>
        </is>
      </c>
      <c r="D21" s="12" t="n">
        <v>2</v>
      </c>
      <c r="E21" s="12" t="n">
        <v>1</v>
      </c>
      <c r="F21" s="12" t="n">
        <v>1</v>
      </c>
      <c r="G21" s="12" t="n">
        <v>4</v>
      </c>
      <c r="H21" s="11" t="inlineStr">
        <is>
          <t>research/insights-P475543</t>
        </is>
      </c>
    </row>
    <row r="22">
      <c r="A22" s="5" t="inlineStr">
        <is>
          <t>V18</t>
        </is>
      </c>
      <c r="B22" s="5" t="inlineStr">
        <is>
          <t>Insight</t>
        </is>
      </c>
      <c r="C22" s="11" t="inlineStr">
        <is>
          <t>Toner Watermelon có hợp da dầu không?</t>
        </is>
      </c>
      <c r="D22" s="12" t="n">
        <v>1</v>
      </c>
      <c r="E22" s="12" t="n">
        <v>2</v>
      </c>
      <c r="F22" s="12" t="n">
        <v>2</v>
      </c>
      <c r="G22" s="12" t="n">
        <v>1</v>
      </c>
      <c r="H22" s="11" t="inlineStr">
        <is>
          <t>research/insights-P458219</t>
        </is>
      </c>
    </row>
    <row r="23">
      <c r="A23" s="5" t="inlineStr">
        <is>
          <t>V19</t>
        </is>
      </c>
      <c r="B23" s="5" t="inlineStr">
        <is>
          <t>Compliance</t>
        </is>
      </c>
      <c r="C23" s="11" t="inlineStr">
        <is>
          <t>Có được nói serum Avocado phục hồi hàng rào bảo vệ da không?</t>
        </is>
      </c>
      <c r="D23" s="12" t="n">
        <v>4</v>
      </c>
      <c r="E23" s="12" t="n"/>
      <c r="F23" s="12" t="n"/>
      <c r="G23" s="12" t="n"/>
      <c r="H23" s="11" t="inlineStr">
        <is>
          <t>brand/claims-policy#cp-01</t>
        </is>
      </c>
    </row>
    <row r="24">
      <c r="A24" s="5" t="inlineStr">
        <is>
          <t>V20</t>
        </is>
      </c>
      <c r="B24" s="5" t="inlineStr">
        <is>
          <t>Compliance</t>
        </is>
      </c>
      <c r="C24" s="11" t="inlineStr">
        <is>
          <t>Có được nói serum Guava làm mờ nám không?</t>
        </is>
      </c>
      <c r="D24" s="12" t="n">
        <v>1</v>
      </c>
      <c r="E24" s="12" t="n">
        <v>4</v>
      </c>
      <c r="F24" s="12" t="n">
        <v>4</v>
      </c>
      <c r="G24" s="12" t="n">
        <v>2</v>
      </c>
      <c r="H24" s="11" t="inlineStr">
        <is>
          <t>brand/claims-policy#cp-03</t>
        </is>
      </c>
    </row>
    <row r="25">
      <c r="A25" s="5" t="inlineStr">
        <is>
          <t>V21</t>
        </is>
      </c>
      <c r="B25" s="5" t="inlineStr">
        <is>
          <t>Compliance</t>
        </is>
      </c>
      <c r="C25" s="11" t="inlineStr">
        <is>
          <t>Có được gọi kem chống nắng là sunblock không?</t>
        </is>
      </c>
      <c r="D25" s="12" t="n">
        <v>1</v>
      </c>
      <c r="E25" s="12" t="n">
        <v>1</v>
      </c>
      <c r="F25" s="12" t="n">
        <v>1</v>
      </c>
      <c r="G25" s="12" t="n">
        <v>1</v>
      </c>
      <c r="H25" s="11" t="inlineStr">
        <is>
          <t>brand/claims-policy#cp-05
compliance/fda-sunscreen-labeling#prohibited-terms</t>
        </is>
      </c>
    </row>
    <row r="26">
      <c r="A26" s="5" t="inlineStr">
        <is>
          <t>V22</t>
        </is>
      </c>
      <c r="B26" s="5" t="inlineStr">
        <is>
          <t>Compliance</t>
        </is>
      </c>
      <c r="C26" s="11" t="inlineStr">
        <is>
          <t>Nội dung về kem chống nắng phải nhắc thoa lại sau bao lâu?</t>
        </is>
      </c>
      <c r="D26" s="12" t="n">
        <v>1</v>
      </c>
      <c r="E26" s="12" t="n">
        <v>1</v>
      </c>
      <c r="F26" s="12" t="n">
        <v>8</v>
      </c>
      <c r="G26" s="12" t="n">
        <v>8</v>
      </c>
      <c r="H26" s="11" t="inlineStr">
        <is>
          <t>brand/claims-policy#cp-05
compliance/fda-sunscreen-labeling#water-resistance</t>
        </is>
      </c>
    </row>
    <row r="27">
      <c r="A27" s="5" t="inlineStr">
        <is>
          <t>V23</t>
        </is>
      </c>
      <c r="B27" s="5" t="inlineStr">
        <is>
          <t>Compliance</t>
        </is>
      </c>
      <c r="C27" s="11" t="inlineStr">
        <is>
          <t>Có được dùng review 'hết sạch mụn' của khách trong quảng cáo không?</t>
        </is>
      </c>
      <c r="D27" s="12" t="n">
        <v>1</v>
      </c>
      <c r="E27" s="12" t="n">
        <v>1</v>
      </c>
      <c r="F27" s="12" t="n">
        <v>4</v>
      </c>
      <c r="G27" s="12" t="n">
        <v>3</v>
      </c>
      <c r="H27" s="11" t="inlineStr">
        <is>
          <t>brand/claims-policy#cp-07
brand/claims-policy#cp-02
compliance/ftc-health-claims#5-testimonials-and-endorsements</t>
        </is>
      </c>
    </row>
    <row r="28">
      <c r="A28" s="5" t="inlineStr">
        <is>
          <t>V24</t>
        </is>
      </c>
      <c r="B28" s="5" t="inlineStr">
        <is>
          <t>Compliance</t>
        </is>
      </c>
      <c r="C28" s="11" t="inlineStr">
        <is>
          <t>Có được ghi được bác sĩ da liễu khuyên dùng không?</t>
        </is>
      </c>
      <c r="D28" s="12" t="n">
        <v>2</v>
      </c>
      <c r="E28" s="12" t="n">
        <v>2</v>
      </c>
      <c r="F28" s="12" t="n">
        <v>7</v>
      </c>
      <c r="G28" s="12" t="n">
        <v>5</v>
      </c>
      <c r="H28" s="11" t="inlineStr">
        <is>
          <t>brand/claims-policy#cp-06</t>
        </is>
      </c>
    </row>
    <row r="29">
      <c r="A29" s="5" t="inlineStr">
        <is>
          <t>V25</t>
        </is>
      </c>
      <c r="B29" s="5" t="inlineStr">
        <is>
          <t>Compliance</t>
        </is>
      </c>
      <c r="C29" s="11" t="inlineStr">
        <is>
          <t>Có được nói đây là serum bán chạy nhất không?</t>
        </is>
      </c>
      <c r="D29" s="12" t="n">
        <v>5</v>
      </c>
      <c r="E29" s="12" t="n"/>
      <c r="F29" s="12" t="n"/>
      <c r="G29" s="12" t="n"/>
      <c r="H29" s="11" t="inlineStr">
        <is>
          <t>brand/claims-policy#cp-12</t>
        </is>
      </c>
    </row>
    <row r="30">
      <c r="A30" s="5" t="inlineStr">
        <is>
          <t>V26</t>
        </is>
      </c>
      <c r="B30" s="5" t="inlineStr">
        <is>
          <t>Compliance</t>
        </is>
      </c>
      <c r="C30" s="11" t="inlineStr">
        <is>
          <t>Có được nói sản phẩm có hương liệu phù hợp da nhạy cảm không?</t>
        </is>
      </c>
      <c r="D30" s="12" t="n">
        <v>3</v>
      </c>
      <c r="E30" s="12" t="n">
        <v>8</v>
      </c>
      <c r="F30" s="12" t="n"/>
      <c r="G30" s="12" t="n"/>
      <c r="H30" s="11" t="inlineStr">
        <is>
          <t>brand/claims-policy#cp-09</t>
        </is>
      </c>
    </row>
    <row r="31">
      <c r="A31" s="5" t="inlineStr">
        <is>
          <t>V27</t>
        </is>
      </c>
      <c r="B31" s="5" t="inlineStr">
        <is>
          <t>Compliance</t>
        </is>
      </c>
      <c r="C31" s="11" t="inlineStr">
        <is>
          <t>FDA khuyến nghị nồng độ AHA và độ pH bao nhiêu?</t>
        </is>
      </c>
      <c r="D31" s="12" t="n">
        <v>1</v>
      </c>
      <c r="E31" s="12" t="n">
        <v>1</v>
      </c>
      <c r="F31" s="12" t="n">
        <v>1</v>
      </c>
      <c r="G31" s="12" t="n">
        <v>1</v>
      </c>
      <c r="H31" s="11" t="inlineStr">
        <is>
          <t>compliance/fda-aha-labeling#other-recommendations</t>
        </is>
      </c>
    </row>
    <row r="32">
      <c r="A32" s="5" t="inlineStr">
        <is>
          <t>V28</t>
        </is>
      </c>
      <c r="B32" s="5" t="inlineStr">
        <is>
          <t>Compliance</t>
        </is>
      </c>
      <c r="C32" s="11" t="inlineStr">
        <is>
          <t>Theo MoCRA, thế nào là phản ứng phụ nghiêm trọng?</t>
        </is>
      </c>
      <c r="D32" s="12" t="n">
        <v>2</v>
      </c>
      <c r="E32" s="12" t="n">
        <v>1</v>
      </c>
      <c r="F32" s="12" t="n">
        <v>3</v>
      </c>
      <c r="G32" s="12" t="n">
        <v>2</v>
      </c>
      <c r="H32" s="11" t="inlineStr">
        <is>
          <t>compliance/fda-mocra-adverse-events#what-counts-as-serious
sop/adverse-event-escalation#steps</t>
        </is>
      </c>
    </row>
    <row r="33">
      <c r="A33" s="5" t="inlineStr">
        <is>
          <t>V29</t>
        </is>
      </c>
      <c r="B33" s="5" t="inlineStr">
        <is>
          <t>Compliance</t>
        </is>
      </c>
      <c r="C33" s="11" t="inlineStr">
        <is>
          <t>Influencer phải ghi chú quảng cáo ở mọi bài hay chỉ một lần?</t>
        </is>
      </c>
      <c r="D33" s="12" t="n">
        <v>1</v>
      </c>
      <c r="E33" s="12" t="n">
        <v>1</v>
      </c>
      <c r="F33" s="12" t="n">
        <v>1</v>
      </c>
      <c r="G33" s="12" t="n">
        <v>1</v>
      </c>
      <c r="H33" s="11" t="inlineStr">
        <is>
          <t>compliance/ftc-endorsement-guides#when-a-disclosure-is-required
brand/claims-policy#cp-10
sop/influencer-brief#mandatory-brief-sections</t>
        </is>
      </c>
    </row>
    <row r="34">
      <c r="A34" s="5" t="inlineStr">
        <is>
          <t>V30</t>
        </is>
      </c>
      <c r="B34" s="5" t="inlineStr">
        <is>
          <t>Compliance</t>
        </is>
      </c>
      <c r="C34" s="11" t="inlineStr">
        <is>
          <t>Có được chỉ mời khách hài lòng để lại review không?</t>
        </is>
      </c>
      <c r="D34" s="12" t="n">
        <v>1</v>
      </c>
      <c r="E34" s="12" t="n">
        <v>1</v>
      </c>
      <c r="F34" s="12" t="n">
        <v>9</v>
      </c>
      <c r="G34" s="12" t="n">
        <v>1</v>
      </c>
      <c r="H34" s="11" t="inlineStr">
        <is>
          <t>compliance/ftc-endorsement-guides#reviews
brand/claims-policy#cp-07</t>
        </is>
      </c>
    </row>
    <row r="35">
      <c r="A35" s="5" t="inlineStr">
        <is>
          <t>V31</t>
        </is>
      </c>
      <c r="B35" s="5" t="inlineStr">
        <is>
          <t>Compliance</t>
        </is>
      </c>
      <c r="C35" s="11" t="inlineStr">
        <is>
          <t>'Net impression' trong hướng dẫn FTC nghĩa là gì?</t>
        </is>
      </c>
      <c r="D35" s="12" t="n">
        <v>1</v>
      </c>
      <c r="E35" s="12" t="n">
        <v>1</v>
      </c>
      <c r="F35" s="12" t="n">
        <v>1</v>
      </c>
      <c r="G35" s="12" t="n">
        <v>1</v>
      </c>
      <c r="H35" s="11" t="inlineStr">
        <is>
          <t>compliance/ftc-health-claims#3-net-impression</t>
        </is>
      </c>
    </row>
    <row r="36">
      <c r="A36" s="5" t="inlineStr">
        <is>
          <t>V32</t>
        </is>
      </c>
      <c r="B36" s="5" t="inlineStr">
        <is>
          <t>SOP</t>
        </is>
      </c>
      <c r="C36" s="11" t="inlineStr">
        <is>
          <t>Ai duyệt các claim cần Regulatory xem xét?</t>
        </is>
      </c>
      <c r="D36" s="12" t="n">
        <v>1</v>
      </c>
      <c r="E36" s="12" t="n">
        <v>2</v>
      </c>
      <c r="F36" s="12" t="n">
        <v>2</v>
      </c>
      <c r="G36" s="12" t="n">
        <v>3</v>
      </c>
      <c r="H36" s="11" t="inlineStr">
        <is>
          <t>sop/ad-claim-review#roles
sop/ad-claim-review#steps</t>
        </is>
      </c>
    </row>
    <row r="37">
      <c r="A37" s="5" t="inlineStr">
        <is>
          <t>V33</t>
        </is>
      </c>
      <c r="B37" s="5" t="inlineStr">
        <is>
          <t>SOP</t>
        </is>
      </c>
      <c r="C37" s="11" t="inlineStr">
        <is>
          <t>Quảng cáo trả phí phải được duyệt trước ngày chạy bao lâu?</t>
        </is>
      </c>
      <c r="D37" s="12" t="n">
        <v>1</v>
      </c>
      <c r="E37" s="12" t="n">
        <v>1</v>
      </c>
      <c r="F37" s="12" t="n">
        <v>1</v>
      </c>
      <c r="G37" s="12" t="n">
        <v>5</v>
      </c>
      <c r="H37" s="11" t="inlineStr">
        <is>
          <t>sop/ad-claim-review#steps</t>
        </is>
      </c>
    </row>
    <row r="38">
      <c r="A38" s="5" t="inlineStr">
        <is>
          <t>V34</t>
        </is>
      </c>
      <c r="B38" s="5" t="inlineStr">
        <is>
          <t>SOP</t>
        </is>
      </c>
      <c r="C38" s="11" t="inlineStr">
        <is>
          <t>Nếu quảng cáo đang chạy vi phạm luật BLOCK thì làm gì?</t>
        </is>
      </c>
      <c r="D38" s="12" t="n">
        <v>1</v>
      </c>
      <c r="E38" s="12" t="n">
        <v>1</v>
      </c>
      <c r="F38" s="12" t="n">
        <v>1</v>
      </c>
      <c r="G38" s="12" t="n">
        <v>5</v>
      </c>
      <c r="H38" s="11" t="inlineStr">
        <is>
          <t>sop/ad-claim-review#steps</t>
        </is>
      </c>
    </row>
    <row r="39">
      <c r="A39" s="5" t="inlineStr">
        <is>
          <t>V35</t>
        </is>
      </c>
      <c r="B39" s="5" t="inlineStr">
        <is>
          <t>SOP</t>
        </is>
      </c>
      <c r="C39" s="11" t="inlineStr">
        <is>
          <t>CSKH cần thu thập thông tin gì khi khách báo bị phản ứng da?</t>
        </is>
      </c>
      <c r="D39" s="12" t="n">
        <v>2</v>
      </c>
      <c r="E39" s="12" t="n">
        <v>5</v>
      </c>
      <c r="F39" s="12" t="n">
        <v>9</v>
      </c>
      <c r="G39" s="12" t="n">
        <v>8</v>
      </c>
      <c r="H39" s="11" t="inlineStr">
        <is>
          <t>sop/adverse-event-escalation#steps</t>
        </is>
      </c>
    </row>
    <row r="40">
      <c r="A40" s="5" t="inlineStr">
        <is>
          <t>V36</t>
        </is>
      </c>
      <c r="B40" s="5" t="inlineStr">
        <is>
          <t>SOP</t>
        </is>
      </c>
      <c r="C40" s="11" t="inlineStr">
        <is>
          <t>CSKH tuyệt đối không được nói gì với khách bị phản ứng da?</t>
        </is>
      </c>
      <c r="D40" s="12" t="n">
        <v>4</v>
      </c>
      <c r="E40" s="12" t="n">
        <v>7</v>
      </c>
      <c r="F40" s="12" t="n"/>
      <c r="G40" s="12" t="n"/>
      <c r="H40" s="11" t="inlineStr">
        <is>
          <t>sop/adverse-event-escalation#do-not
sop/review-response#principles</t>
        </is>
      </c>
    </row>
    <row r="41">
      <c r="A41" s="5" t="inlineStr">
        <is>
          <t>V37</t>
        </is>
      </c>
      <c r="B41" s="5" t="inlineStr">
        <is>
          <t>SOP</t>
        </is>
      </c>
      <c r="C41" s="11" t="inlineStr">
        <is>
          <t>Phải trả lời review 1 sao trong bao lâu?</t>
        </is>
      </c>
      <c r="D41" s="12" t="n">
        <v>1</v>
      </c>
      <c r="E41" s="12" t="n">
        <v>1</v>
      </c>
      <c r="F41" s="12" t="n">
        <v>8</v>
      </c>
      <c r="G41" s="12" t="n"/>
      <c r="H41" s="11" t="inlineStr">
        <is>
          <t>sop/review-response#principles</t>
        </is>
      </c>
    </row>
    <row r="42">
      <c r="A42" s="5" t="inlineStr">
        <is>
          <t>V38</t>
        </is>
      </c>
      <c r="B42" s="5" t="inlineStr">
        <is>
          <t>SOP</t>
        </is>
      </c>
      <c r="C42" s="11" t="inlineStr">
        <is>
          <t>Creator phải dùng sản phẩm bao lâu trước khi đăng bài?</t>
        </is>
      </c>
      <c r="D42" s="12" t="n">
        <v>1</v>
      </c>
      <c r="E42" s="12" t="n">
        <v>1</v>
      </c>
      <c r="F42" s="12" t="n">
        <v>4</v>
      </c>
      <c r="G42" s="12" t="n"/>
      <c r="H42" s="11" t="inlineStr">
        <is>
          <t>sop/influencer-brief#mandatory-brief-sections</t>
        </is>
      </c>
    </row>
    <row r="43">
      <c r="A43" s="5" t="inlineStr">
        <is>
          <t>V39</t>
        </is>
      </c>
      <c r="B43" s="5" t="inlineStr">
        <is>
          <t>Chính sách</t>
        </is>
      </c>
      <c r="C43" s="11" t="inlineStr">
        <is>
          <t>Có giao hàng quốc tế không?</t>
        </is>
      </c>
      <c r="D43" s="12" t="n">
        <v>2</v>
      </c>
      <c r="E43" s="12" t="n">
        <v>1</v>
      </c>
      <c r="F43" s="12" t="n">
        <v>1</v>
      </c>
      <c r="G43" s="12" t="n">
        <v>3</v>
      </c>
      <c r="H43" s="11" t="inlineStr">
        <is>
          <t>policy/shipping#what-the-page-does-not-state
policy/returns#exclusions</t>
        </is>
      </c>
    </row>
    <row r="44">
      <c r="A44" s="5" t="inlineStr">
        <is>
          <t>V40</t>
        </is>
      </c>
      <c r="B44" s="5" t="inlineStr">
        <is>
          <t>Chính sách</t>
        </is>
      </c>
      <c r="C44" s="11" t="inlineStr">
        <is>
          <t>Phí vận chuyển ban đầu có được hoàn lại không?</t>
        </is>
      </c>
      <c r="D44" s="12" t="n">
        <v>1</v>
      </c>
      <c r="E44" s="12" t="n">
        <v>4</v>
      </c>
      <c r="F44" s="12" t="n"/>
      <c r="G44" s="12" t="n"/>
      <c r="H44" s="11" t="inlineStr">
        <is>
          <t>policy/returns#key-terms</t>
        </is>
      </c>
    </row>
    <row r="45">
      <c r="A45" s="5" t="inlineStr">
        <is>
          <t>V41</t>
        </is>
      </c>
      <c r="B45" s="5" t="inlineStr">
        <is>
          <t>Chính sách</t>
        </is>
      </c>
      <c r="C45" s="11" t="inlineStr">
        <is>
          <t>Khách có được đổi sản phẩm không?</t>
        </is>
      </c>
      <c r="D45" s="12" t="n">
        <v>1</v>
      </c>
      <c r="E45" s="12" t="n">
        <v>1</v>
      </c>
      <c r="F45" s="12" t="n"/>
      <c r="G45" s="12" t="n"/>
      <c r="H45" s="11" t="inlineStr">
        <is>
          <t>policy/returns#not-covered-by-the-policy-text</t>
        </is>
      </c>
    </row>
    <row r="46">
      <c r="A46" s="5" t="inlineStr">
        <is>
          <t>V42</t>
        </is>
      </c>
      <c r="B46" s="5" t="inlineStr">
        <is>
          <t>Creative</t>
        </is>
      </c>
      <c r="C46" s="11" t="inlineStr">
        <is>
          <t>Quảng cáo hướng dẫn chống vón cho kem chống nắng cho kết quả gì?</t>
        </is>
      </c>
      <c r="D46" s="12" t="n">
        <v>1</v>
      </c>
      <c r="E46" s="12" t="n">
        <v>2</v>
      </c>
      <c r="F46" s="12" t="n">
        <v>9</v>
      </c>
      <c r="G46" s="12" t="n"/>
      <c r="H46" s="11" t="inlineStr">
        <is>
          <t>creative/learnings-2023#ct-03</t>
        </is>
      </c>
    </row>
    <row r="47">
      <c r="A47" s="5" t="inlineStr">
        <is>
          <t>V43</t>
        </is>
      </c>
      <c r="B47" s="5" t="inlineStr">
        <is>
          <t>Creative</t>
        </is>
      </c>
      <c r="C47" s="11" t="inlineStr">
        <is>
          <t>UGC hay ảnh studio hiệu quả hơn?</t>
        </is>
      </c>
      <c r="D47" s="12" t="n">
        <v>2</v>
      </c>
      <c r="E47" s="12" t="n">
        <v>2</v>
      </c>
      <c r="F47" s="12" t="n">
        <v>2</v>
      </c>
      <c r="G47" s="12" t="n">
        <v>2</v>
      </c>
      <c r="H47" s="11" t="inlineStr">
        <is>
          <t>creative/learnings-2023#cross-test-learnings</t>
        </is>
      </c>
    </row>
    <row r="48">
      <c r="A48" s="5" t="inlineStr">
        <is>
          <t>V44</t>
        </is>
      </c>
      <c r="B48" s="5" t="inlineStr">
        <is>
          <t>Creative</t>
        </is>
      </c>
      <c r="C48" s="11" t="inlineStr">
        <is>
          <t>Nên test gì tiếp theo cho serum Guava?</t>
        </is>
      </c>
      <c r="D48" s="12" t="n">
        <v>1</v>
      </c>
      <c r="E48" s="12" t="n">
        <v>1</v>
      </c>
      <c r="F48" s="12" t="n">
        <v>1</v>
      </c>
      <c r="G48" s="12" t="n">
        <v>5</v>
      </c>
      <c r="H48" s="11" t="inlineStr">
        <is>
          <t>creative/learnings-2023#recommended-next-tests
creative/learnings-2023#open-questions-and-data-gaps</t>
        </is>
      </c>
    </row>
    <row r="49">
      <c r="A49" s="5" t="inlineStr">
        <is>
          <t>V45</t>
        </is>
      </c>
      <c r="B49" s="5" t="inlineStr">
        <is>
          <t>Creative</t>
        </is>
      </c>
      <c r="C49" s="11" t="inlineStr">
        <is>
          <t>Khi nào một bài test được coi là thắng?</t>
        </is>
      </c>
      <c r="D49" s="12" t="n"/>
      <c r="E49" s="12" t="n"/>
      <c r="F49" s="12" t="n"/>
      <c r="G49" s="12" t="n"/>
      <c r="H49" s="11" t="inlineStr">
        <is>
          <t>creative/learnings-2023#how-to-read-this</t>
        </is>
      </c>
    </row>
    <row r="50">
      <c r="A50" s="5" t="inlineStr">
        <is>
          <t>V46</t>
        </is>
      </c>
      <c r="B50" s="5" t="inlineStr">
        <is>
          <t>Brand</t>
        </is>
      </c>
      <c r="C50" s="11" t="inlineStr">
        <is>
          <t>Được dùng những emoji nào?</t>
        </is>
      </c>
      <c r="D50" s="12" t="n">
        <v>1</v>
      </c>
      <c r="E50" s="12" t="n">
        <v>1</v>
      </c>
      <c r="F50" s="12" t="n">
        <v>1</v>
      </c>
      <c r="G50" s="12" t="n">
        <v>1</v>
      </c>
      <c r="H50" s="11" t="inlineStr">
        <is>
          <t>brand/voice-guide#emoji-palette</t>
        </is>
      </c>
    </row>
    <row r="51">
      <c r="A51" s="5" t="inlineStr">
        <is>
          <t>V47</t>
        </is>
      </c>
      <c r="B51" s="5" t="inlineStr">
        <is>
          <t>Brand</t>
        </is>
      </c>
      <c r="C51" s="11" t="inlineStr">
        <is>
          <t>Tiêu đề email nên dài bao nhiêu?</t>
        </is>
      </c>
      <c r="D51" s="12" t="n">
        <v>1</v>
      </c>
      <c r="E51" s="12" t="n">
        <v>1</v>
      </c>
      <c r="F51" s="12" t="n">
        <v>10</v>
      </c>
      <c r="G51" s="12" t="n">
        <v>1</v>
      </c>
      <c r="H51" s="11" t="inlineStr">
        <is>
          <t>brand/voice-guide#channel-formats</t>
        </is>
      </c>
    </row>
    <row r="52">
      <c r="A52" s="5" t="inlineStr">
        <is>
          <t>V48</t>
        </is>
      </c>
      <c r="B52" s="5" t="inlineStr">
        <is>
          <t>Brand</t>
        </is>
      </c>
      <c r="C52" s="11" t="inlineStr">
        <is>
          <t>Những từ nào nên tránh khi viết nội dung thương hiệu?</t>
        </is>
      </c>
      <c r="D52" s="12" t="n">
        <v>1</v>
      </c>
      <c r="E52" s="12" t="n">
        <v>1</v>
      </c>
      <c r="F52" s="12" t="n">
        <v>4</v>
      </c>
      <c r="G52" s="12" t="n"/>
      <c r="H52" s="11" t="inlineStr">
        <is>
          <t>brand/voice-guide#vocabulary</t>
        </is>
      </c>
    </row>
    <row r="53">
      <c r="A53" s="5" t="inlineStr">
        <is>
          <t>V49</t>
        </is>
      </c>
      <c r="B53" s="5" t="inlineStr">
        <is>
          <t>Brand</t>
        </is>
      </c>
      <c r="C53" s="11" t="inlineStr">
        <is>
          <t>Tagline của Glow Recipe là gì?</t>
        </is>
      </c>
      <c r="D53" s="12" t="n">
        <v>1</v>
      </c>
      <c r="E53" s="12" t="n">
        <v>1</v>
      </c>
      <c r="F53" s="12" t="n">
        <v>1</v>
      </c>
      <c r="G53" s="12" t="n">
        <v>1</v>
      </c>
      <c r="H53" s="11" t="inlineStr">
        <is>
          <t>brand/brand-overview#positioning</t>
        </is>
      </c>
    </row>
    <row r="54">
      <c r="A54" s="5" t="inlineStr">
        <is>
          <t>V50</t>
        </is>
      </c>
      <c r="B54" s="5" t="inlineStr">
        <is>
          <t>Brand</t>
        </is>
      </c>
      <c r="C54" s="11" t="inlineStr">
        <is>
          <t>Creative brief cần những phần nào?</t>
        </is>
      </c>
      <c r="D54" s="12" t="n">
        <v>1</v>
      </c>
      <c r="E54" s="12" t="n">
        <v>1</v>
      </c>
      <c r="F54" s="12" t="n">
        <v>1</v>
      </c>
      <c r="G54" s="12" t="n">
        <v>1</v>
      </c>
      <c r="H54" s="11" t="inlineStr">
        <is>
          <t>creative/brief-template#overview</t>
        </is>
      </c>
    </row>
    <row r="55">
      <c r="A55" s="5" t="inlineStr">
        <is>
          <t>V51</t>
        </is>
      </c>
      <c r="B55" s="5" t="inlineStr">
        <is>
          <t>Khoảng trống dữ liệu</t>
        </is>
      </c>
      <c r="C55" s="11" t="inlineStr">
        <is>
          <t>Kem chống nắng có phổ rộng (broad spectrum) không?</t>
        </is>
      </c>
      <c r="D55" s="12" t="n">
        <v>1</v>
      </c>
      <c r="E55" s="12" t="n">
        <v>1</v>
      </c>
      <c r="F55" s="12" t="n">
        <v>1</v>
      </c>
      <c r="G55" s="12" t="n">
        <v>1</v>
      </c>
      <c r="H55" s="11" t="inlineStr">
        <is>
          <t>brand/claims-policy#cp-05
compliance/fda-sunscreen-labeling#relevance
compliance/fda-sunscreen-labeling#other-points
sop/ad-claim-review#claims-register-status</t>
        </is>
      </c>
    </row>
    <row r="56">
      <c r="A56" s="5" t="inlineStr">
        <is>
          <t>V52</t>
        </is>
      </c>
      <c r="B56" s="5" t="inlineStr">
        <is>
          <t>Khoảng trống dữ liệu</t>
        </is>
      </c>
      <c r="C56" s="11" t="inlineStr">
        <is>
          <t>Có nghiên cứu lâm sàng nào cho sản phẩm không?</t>
        </is>
      </c>
      <c r="D56" s="12" t="n">
        <v>1</v>
      </c>
      <c r="E56" s="12" t="n">
        <v>1</v>
      </c>
      <c r="F56" s="12" t="n">
        <v>2</v>
      </c>
      <c r="G56" s="12" t="n">
        <v>1</v>
      </c>
      <c r="H56" s="11" t="inlineStr">
        <is>
          <t>compliance/ftc-health-claims#practical-implications
brand/claims-policy#cp-06
sop/ad-claim-review#claims-register-status
brand/brand-overview#not-in-the-knowledge-base</t>
        </is>
      </c>
    </row>
    <row r="57">
      <c r="A57" s="5" t="inlineStr">
        <is>
          <t>V53</t>
        </is>
      </c>
      <c r="B57" s="5" t="inlineStr">
        <is>
          <t>Khoảng trống dữ liệu</t>
        </is>
      </c>
      <c r="C57" s="11" t="inlineStr">
        <is>
          <t>Khách nghĩ gì về kem dưỡng thể Pink Dream?</t>
        </is>
      </c>
      <c r="D57" s="12" t="n">
        <v>1</v>
      </c>
      <c r="E57" s="12" t="n">
        <v>1</v>
      </c>
      <c r="F57" s="12" t="n">
        <v>1</v>
      </c>
      <c r="G57" s="12" t="n">
        <v>1</v>
      </c>
      <c r="H57" s="11" t="inlineStr">
        <is>
          <t>product/P469211
research/insights-overview#known-gaps</t>
        </is>
      </c>
    </row>
  </sheetData>
  <autoFilter ref="A4:H57"/>
  <conditionalFormatting sqref="D5:G57">
    <cfRule type="cellIs" priority="1" operator="equal" dxfId="0">
      <formula>1</formula>
    </cfRule>
    <cfRule type="cellIs" priority="2" operator="between" dxfId="2">
      <formula>2</formula>
      <formula>5</formula>
    </cfRule>
    <cfRule type="cellIs" priority="3" operator="greaterThan" dxfId="1">
      <formula>5</formula>
    </cfRule>
    <cfRule type="expression" priority="4" dxfId="1">
      <formula>ISBLANK(D5)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8" customWidth="1" min="3" max="3"/>
    <col width="34" customWidth="1" min="4" max="4"/>
    <col width="30" customWidth="1" min="5" max="5"/>
    <col width="9" customWidth="1" min="6" max="6"/>
    <col width="11" customWidth="1" min="7" max="7"/>
    <col width="10" customWidth="1" min="8" max="8"/>
    <col width="30" customWidth="1" min="9" max="9"/>
  </cols>
  <sheetData>
    <row r="1">
      <c r="A1" s="1" t="inlineStr">
        <is>
          <t>Tìm review có bộ lọc: precision@5</t>
        </is>
      </c>
    </row>
    <row r="2">
      <c r="A2" s="2" t="inlineStr">
        <is>
          <t>Precision@5 = số review trong top 5 khớp từ khoá nhãn / 5. Vi phạm = số kết quả sai bộ lọc (phải bằng 0).</t>
        </is>
      </c>
    </row>
    <row r="4">
      <c r="A4" s="4" t="inlineStr">
        <is>
          <t>ID</t>
        </is>
      </c>
      <c r="B4" s="4" t="inlineStr">
        <is>
          <t>Biến thể</t>
        </is>
      </c>
      <c r="C4" s="4" t="inlineStr">
        <is>
          <t>Câu hỏi</t>
        </is>
      </c>
      <c r="D4" s="4" t="inlineStr">
        <is>
          <t>Bộ lọc</t>
        </is>
      </c>
      <c r="E4" s="4" t="inlineStr">
        <is>
          <t>Từ khoá nhãn (regex)</t>
        </is>
      </c>
      <c r="F4" s="4" t="inlineStr">
        <is>
          <t>Số kết quả</t>
        </is>
      </c>
      <c r="G4" s="4" t="inlineStr">
        <is>
          <t>Precision@5</t>
        </is>
      </c>
      <c r="H4" s="4" t="inlineStr">
        <is>
          <t>Vi phạm bộ lọc</t>
        </is>
      </c>
      <c r="I4" s="4" t="inlineStr">
        <is>
          <t>Review không liên quan</t>
        </is>
      </c>
    </row>
    <row r="5">
      <c r="A5" s="5" t="inlineStr">
        <is>
          <t>RV01</t>
        </is>
      </c>
      <c r="B5" s="5" t="inlineStr">
        <is>
          <t>Tiếng Anh</t>
        </is>
      </c>
      <c r="C5" s="11" t="inlineStr">
        <is>
          <t>pilling under makeup</t>
        </is>
      </c>
      <c r="D5" s="11" t="inlineStr">
        <is>
          <t>{"product_ids": "P481989", "rating_lte": 2}</t>
        </is>
      </c>
      <c r="E5" s="11" t="inlineStr">
        <is>
          <t>pill|ball(s|ing)? up|flak|peel</t>
        </is>
      </c>
      <c r="F5" s="12" t="n">
        <v>5</v>
      </c>
      <c r="G5" s="13" t="n">
        <v>1</v>
      </c>
      <c r="H5" s="12" t="n">
        <v>0</v>
      </c>
      <c r="I5" s="11" t="inlineStr"/>
    </row>
    <row r="6">
      <c r="A6" s="5" t="inlineStr">
        <is>
          <t>RV01</t>
        </is>
      </c>
      <c r="B6" s="5" t="inlineStr">
        <is>
          <t>Tiếng Việt có dấu</t>
        </is>
      </c>
      <c r="C6" s="11" t="inlineStr">
        <is>
          <t>bị vón khi trang điểm</t>
        </is>
      </c>
      <c r="D6" s="11" t="inlineStr">
        <is>
          <t>{"product_ids": "P481989", "rating_lte": 2}</t>
        </is>
      </c>
      <c r="E6" s="11" t="inlineStr">
        <is>
          <t>pill|ball(s|ing)? up|flak|peel</t>
        </is>
      </c>
      <c r="F6" s="12" t="n">
        <v>5</v>
      </c>
      <c r="G6" s="13" t="n">
        <v>0.8</v>
      </c>
      <c r="H6" s="12" t="n">
        <v>0</v>
      </c>
      <c r="I6" s="11" t="inlineStr">
        <is>
          <t>review/P481989-22246</t>
        </is>
      </c>
    </row>
    <row r="7">
      <c r="A7" s="5" t="inlineStr">
        <is>
          <t>RV01</t>
        </is>
      </c>
      <c r="B7" s="5" t="inlineStr">
        <is>
          <t>Không dấu</t>
        </is>
      </c>
      <c r="C7" s="11" t="inlineStr">
        <is>
          <t>bi von khi trang diem</t>
        </is>
      </c>
      <c r="D7" s="11" t="inlineStr">
        <is>
          <t>{"product_ids": "P481989", "rating_lte": 2}</t>
        </is>
      </c>
      <c r="E7" s="11" t="inlineStr">
        <is>
          <t>pill|ball(s|ing)? up|flak|peel</t>
        </is>
      </c>
      <c r="F7" s="12" t="n">
        <v>5</v>
      </c>
      <c r="G7" s="13" t="n">
        <v>0.8</v>
      </c>
      <c r="H7" s="12" t="n">
        <v>0</v>
      </c>
      <c r="I7" s="11" t="inlineStr">
        <is>
          <t>review/P481989-22129</t>
        </is>
      </c>
    </row>
    <row r="8">
      <c r="A8" s="5" t="inlineStr">
        <is>
          <t>RV02</t>
        </is>
      </c>
      <c r="B8" s="5" t="inlineStr">
        <is>
          <t>Tiếng Anh</t>
        </is>
      </c>
      <c r="C8" s="11" t="inlineStr">
        <is>
          <t>leaves a white cast on darker skin</t>
        </is>
      </c>
      <c r="D8" s="11" t="inlineStr">
        <is>
          <t>{"product_ids": "P481989"}</t>
        </is>
      </c>
      <c r="E8" s="11" t="inlineStr">
        <is>
          <t>white cast|cast|ashy|gr[ae]y|whitish</t>
        </is>
      </c>
      <c r="F8" s="12" t="n">
        <v>5</v>
      </c>
      <c r="G8" s="13" t="n">
        <v>1</v>
      </c>
      <c r="H8" s="12" t="n">
        <v>0</v>
      </c>
      <c r="I8" s="11" t="inlineStr"/>
    </row>
    <row r="9">
      <c r="A9" s="5" t="inlineStr">
        <is>
          <t>RV02</t>
        </is>
      </c>
      <c r="B9" s="5" t="inlineStr">
        <is>
          <t>Tiếng Việt có dấu</t>
        </is>
      </c>
      <c r="C9" s="11" t="inlineStr">
        <is>
          <t>để lại vệt trắng trên da ngăm</t>
        </is>
      </c>
      <c r="D9" s="11" t="inlineStr">
        <is>
          <t>{"product_ids": "P481989"}</t>
        </is>
      </c>
      <c r="E9" s="11" t="inlineStr">
        <is>
          <t>white cast|cast|ashy|gr[ae]y|whitish</t>
        </is>
      </c>
      <c r="F9" s="12" t="n">
        <v>5</v>
      </c>
      <c r="G9" s="13" t="n">
        <v>1</v>
      </c>
      <c r="H9" s="12" t="n">
        <v>0</v>
      </c>
      <c r="I9" s="11" t="inlineStr"/>
    </row>
    <row r="10">
      <c r="A10" s="5" t="inlineStr">
        <is>
          <t>RV02</t>
        </is>
      </c>
      <c r="B10" s="5" t="inlineStr">
        <is>
          <t>Không dấu</t>
        </is>
      </c>
      <c r="C10" s="11" t="inlineStr">
        <is>
          <t>de lai vet trang tren da ngam</t>
        </is>
      </c>
      <c r="D10" s="11" t="inlineStr">
        <is>
          <t>{"product_ids": "P481989"}</t>
        </is>
      </c>
      <c r="E10" s="11" t="inlineStr">
        <is>
          <t>white cast|cast|ashy|gr[ae]y|whitish</t>
        </is>
      </c>
      <c r="F10" s="12" t="n">
        <v>5</v>
      </c>
      <c r="G10" s="13" t="n">
        <v>0.6</v>
      </c>
      <c r="H10" s="12" t="n">
        <v>0</v>
      </c>
      <c r="I10" s="11" t="inlineStr">
        <is>
          <t>review/P481989-22084
review/P481989-22290</t>
        </is>
      </c>
    </row>
    <row r="11">
      <c r="A11" s="5" t="inlineStr">
        <is>
          <t>RV03</t>
        </is>
      </c>
      <c r="B11" s="5" t="inlineStr">
        <is>
          <t>Tiếng Anh</t>
        </is>
      </c>
      <c r="C11" s="11" t="inlineStr">
        <is>
          <t>it broke me out</t>
        </is>
      </c>
      <c r="D11" s="11" t="inlineStr">
        <is>
          <t>{"product_ids": "P482535"}</t>
        </is>
      </c>
      <c r="E11" s="11" t="inlineStr">
        <is>
          <t>break ?out|broke|pimple|acne|purg|zit|bump</t>
        </is>
      </c>
      <c r="F11" s="12" t="n">
        <v>5</v>
      </c>
      <c r="G11" s="13" t="n">
        <v>1</v>
      </c>
      <c r="H11" s="12" t="n">
        <v>0</v>
      </c>
      <c r="I11" s="11" t="inlineStr"/>
    </row>
    <row r="12">
      <c r="A12" s="5" t="inlineStr">
        <is>
          <t>RV03</t>
        </is>
      </c>
      <c r="B12" s="5" t="inlineStr">
        <is>
          <t>Tiếng Việt có dấu</t>
        </is>
      </c>
      <c r="C12" s="11" t="inlineStr">
        <is>
          <t>dùng xong bị nổi mụn</t>
        </is>
      </c>
      <c r="D12" s="11" t="inlineStr">
        <is>
          <t>{"product_ids": "P482535"}</t>
        </is>
      </c>
      <c r="E12" s="11" t="inlineStr">
        <is>
          <t>break ?out|broke|pimple|acne|purg|zit|bump</t>
        </is>
      </c>
      <c r="F12" s="12" t="n">
        <v>5</v>
      </c>
      <c r="G12" s="13" t="n">
        <v>1</v>
      </c>
      <c r="H12" s="12" t="n">
        <v>0</v>
      </c>
      <c r="I12" s="11" t="inlineStr"/>
    </row>
    <row r="13">
      <c r="A13" s="5" t="inlineStr">
        <is>
          <t>RV03</t>
        </is>
      </c>
      <c r="B13" s="5" t="inlineStr">
        <is>
          <t>Không dấu</t>
        </is>
      </c>
      <c r="C13" s="11" t="inlineStr">
        <is>
          <t>dung xong bi noi mun</t>
        </is>
      </c>
      <c r="D13" s="11" t="inlineStr">
        <is>
          <t>{"product_ids": "P482535"}</t>
        </is>
      </c>
      <c r="E13" s="11" t="inlineStr">
        <is>
          <t>break ?out|broke|pimple|acne|purg|zit|bump</t>
        </is>
      </c>
      <c r="F13" s="12" t="n">
        <v>5</v>
      </c>
      <c r="G13" s="13" t="n">
        <v>0.6</v>
      </c>
      <c r="H13" s="12" t="n">
        <v>0</v>
      </c>
      <c r="I13" s="11" t="inlineStr">
        <is>
          <t>review/P482535-23329
review/P482535-23216</t>
        </is>
      </c>
    </row>
    <row r="14">
      <c r="A14" s="5" t="inlineStr">
        <is>
          <t>RV04</t>
        </is>
      </c>
      <c r="B14" s="5" t="inlineStr">
        <is>
          <t>Tiếng Anh</t>
        </is>
      </c>
      <c r="C14" s="11" t="inlineStr">
        <is>
          <t>smells amazing</t>
        </is>
      </c>
      <c r="D14" s="11" t="inlineStr">
        <is>
          <t>{"product_ids": "P428819", "rating_gte": 4}</t>
        </is>
      </c>
      <c r="E14" s="11" t="inlineStr">
        <is>
          <t>smell|scent|fragran|aroma</t>
        </is>
      </c>
      <c r="F14" s="12" t="n">
        <v>5</v>
      </c>
      <c r="G14" s="13" t="n">
        <v>1</v>
      </c>
      <c r="H14" s="12" t="n">
        <v>0</v>
      </c>
      <c r="I14" s="11" t="inlineStr"/>
    </row>
    <row r="15">
      <c r="A15" s="5" t="inlineStr">
        <is>
          <t>RV04</t>
        </is>
      </c>
      <c r="B15" s="5" t="inlineStr">
        <is>
          <t>Tiếng Việt có dấu</t>
        </is>
      </c>
      <c r="C15" s="11" t="inlineStr">
        <is>
          <t>mùi thơm rất dễ chịu</t>
        </is>
      </c>
      <c r="D15" s="11" t="inlineStr">
        <is>
          <t>{"product_ids": "P428819", "rating_gte": 4}</t>
        </is>
      </c>
      <c r="E15" s="11" t="inlineStr">
        <is>
          <t>smell|scent|fragran|aroma</t>
        </is>
      </c>
      <c r="F15" s="12" t="n">
        <v>5</v>
      </c>
      <c r="G15" s="13" t="n">
        <v>0.8</v>
      </c>
      <c r="H15" s="12" t="n">
        <v>0</v>
      </c>
      <c r="I15" s="11" t="inlineStr">
        <is>
          <t>review/P428819-00618</t>
        </is>
      </c>
    </row>
    <row r="16">
      <c r="A16" s="5" t="inlineStr">
        <is>
          <t>RV04</t>
        </is>
      </c>
      <c r="B16" s="5" t="inlineStr">
        <is>
          <t>Không dấu</t>
        </is>
      </c>
      <c r="C16" s="11" t="inlineStr">
        <is>
          <t>mui thom rat de chiu</t>
        </is>
      </c>
      <c r="D16" s="11" t="inlineStr">
        <is>
          <t>{"product_ids": "P428819", "rating_gte": 4}</t>
        </is>
      </c>
      <c r="E16" s="11" t="inlineStr">
        <is>
          <t>smell|scent|fragran|aroma</t>
        </is>
      </c>
      <c r="F16" s="12" t="n">
        <v>5</v>
      </c>
      <c r="G16" s="13" t="n">
        <v>0.4</v>
      </c>
      <c r="H16" s="12" t="n">
        <v>0</v>
      </c>
      <c r="I16" s="11" t="inlineStr">
        <is>
          <t>review/P428819-01857
review/P428819-00251
review/P428819-00185</t>
        </is>
      </c>
    </row>
    <row r="17">
      <c r="A17" s="5" t="inlineStr">
        <is>
          <t>RV05</t>
        </is>
      </c>
      <c r="B17" s="5" t="inlineStr">
        <is>
          <t>Tiếng Anh</t>
        </is>
      </c>
      <c r="C17" s="11" t="inlineStr">
        <is>
          <t>feels too sticky</t>
        </is>
      </c>
      <c r="D17" s="11" t="inlineStr">
        <is>
          <t>{"product_ids": "P466123", "rating_lte": 2}</t>
        </is>
      </c>
      <c r="E17" s="11" t="inlineStr">
        <is>
          <t>stick|tack|gummy|residue</t>
        </is>
      </c>
      <c r="F17" s="12" t="n">
        <v>5</v>
      </c>
      <c r="G17" s="13" t="n">
        <v>1</v>
      </c>
      <c r="H17" s="12" t="n">
        <v>0</v>
      </c>
      <c r="I17" s="11" t="inlineStr"/>
    </row>
    <row r="18">
      <c r="A18" s="5" t="inlineStr">
        <is>
          <t>RV05</t>
        </is>
      </c>
      <c r="B18" s="5" t="inlineStr">
        <is>
          <t>Tiếng Việt có dấu</t>
        </is>
      </c>
      <c r="C18" s="11" t="inlineStr">
        <is>
          <t>cảm giác dính nhớp</t>
        </is>
      </c>
      <c r="D18" s="11" t="inlineStr">
        <is>
          <t>{"product_ids": "P466123", "rating_lte": 2}</t>
        </is>
      </c>
      <c r="E18" s="11" t="inlineStr">
        <is>
          <t>stick|tack|gummy|residue</t>
        </is>
      </c>
      <c r="F18" s="12" t="n">
        <v>5</v>
      </c>
      <c r="G18" s="13" t="n">
        <v>1</v>
      </c>
      <c r="H18" s="12" t="n">
        <v>0</v>
      </c>
      <c r="I18" s="11" t="inlineStr"/>
    </row>
    <row r="19">
      <c r="A19" s="5" t="inlineStr">
        <is>
          <t>RV05</t>
        </is>
      </c>
      <c r="B19" s="5" t="inlineStr">
        <is>
          <t>Không dấu</t>
        </is>
      </c>
      <c r="C19" s="11" t="inlineStr">
        <is>
          <t>cam giac dinh nhop</t>
        </is>
      </c>
      <c r="D19" s="11" t="inlineStr">
        <is>
          <t>{"product_ids": "P466123", "rating_lte": 2}</t>
        </is>
      </c>
      <c r="E19" s="11" t="inlineStr">
        <is>
          <t>stick|tack|gummy|residue</t>
        </is>
      </c>
      <c r="F19" s="12" t="n">
        <v>5</v>
      </c>
      <c r="G19" s="13" t="n">
        <v>0.8</v>
      </c>
      <c r="H19" s="12" t="n">
        <v>0</v>
      </c>
      <c r="I19" s="11" t="inlineStr">
        <is>
          <t>review/P466123-15848</t>
        </is>
      </c>
    </row>
    <row r="20">
      <c r="A20" s="5" t="inlineStr">
        <is>
          <t>RV06</t>
        </is>
      </c>
      <c r="B20" s="5" t="inlineStr">
        <is>
          <t>Tiếng Anh</t>
        </is>
      </c>
      <c r="C20" s="11" t="inlineStr">
        <is>
          <t>burning sensation on my face</t>
        </is>
      </c>
      <c r="D20" s="11" t="inlineStr">
        <is>
          <t>{"product_ids": "P436359"}</t>
        </is>
      </c>
      <c r="E20" s="11" t="inlineStr">
        <is>
          <t>burn|sting|tingl|irritat|hot</t>
        </is>
      </c>
      <c r="F20" s="12" t="n">
        <v>5</v>
      </c>
      <c r="G20" s="13" t="n">
        <v>1</v>
      </c>
      <c r="H20" s="12" t="n">
        <v>0</v>
      </c>
      <c r="I20" s="11" t="inlineStr"/>
    </row>
    <row r="21">
      <c r="A21" s="5" t="inlineStr">
        <is>
          <t>RV06</t>
        </is>
      </c>
      <c r="B21" s="5" t="inlineStr">
        <is>
          <t>Tiếng Việt có dấu</t>
        </is>
      </c>
      <c r="C21" s="11" t="inlineStr">
        <is>
          <t>bị rát, nóng mặt</t>
        </is>
      </c>
      <c r="D21" s="11" t="inlineStr">
        <is>
          <t>{"product_ids": "P436359"}</t>
        </is>
      </c>
      <c r="E21" s="11" t="inlineStr">
        <is>
          <t>burn|sting|tingl|irritat|hot</t>
        </is>
      </c>
      <c r="F21" s="12" t="n">
        <v>5</v>
      </c>
      <c r="G21" s="13" t="n">
        <v>0.6</v>
      </c>
      <c r="H21" s="12" t="n">
        <v>0</v>
      </c>
      <c r="I21" s="11" t="inlineStr">
        <is>
          <t>review/P436359-02644
review/P436359-02504</t>
        </is>
      </c>
    </row>
    <row r="22">
      <c r="A22" s="5" t="inlineStr">
        <is>
          <t>RV06</t>
        </is>
      </c>
      <c r="B22" s="5" t="inlineStr">
        <is>
          <t>Không dấu</t>
        </is>
      </c>
      <c r="C22" s="11" t="inlineStr">
        <is>
          <t>bi rat, nong mat</t>
        </is>
      </c>
      <c r="D22" s="11" t="inlineStr">
        <is>
          <t>{"product_ids": "P436359"}</t>
        </is>
      </c>
      <c r="E22" s="11" t="inlineStr">
        <is>
          <t>burn|sting|tingl|irritat|hot</t>
        </is>
      </c>
      <c r="F22" s="12" t="n">
        <v>5</v>
      </c>
      <c r="G22" s="13" t="n">
        <v>0.4</v>
      </c>
      <c r="H22" s="12" t="n">
        <v>0</v>
      </c>
      <c r="I22" s="11" t="inlineStr">
        <is>
          <t>review/P436359-02484
review/P436359-02634
review/P436359-02402</t>
        </is>
      </c>
    </row>
    <row r="23">
      <c r="A23" s="5" t="inlineStr">
        <is>
          <t>RV07</t>
        </is>
      </c>
      <c r="B23" s="5" t="inlineStr">
        <is>
          <t>Tiếng Anh</t>
        </is>
      </c>
      <c r="C23" s="11" t="inlineStr">
        <is>
          <t>very hydrating and plumping</t>
        </is>
      </c>
      <c r="D23" s="11" t="inlineStr">
        <is>
          <t>{"product_ids": "P479327", "rating_gte": 4}</t>
        </is>
      </c>
      <c r="E23" s="11" t="inlineStr">
        <is>
          <t>hydrat|plump|moistur|bouncy|dewy|juicy</t>
        </is>
      </c>
      <c r="F23" s="12" t="n">
        <v>5</v>
      </c>
      <c r="G23" s="13" t="n">
        <v>1</v>
      </c>
      <c r="H23" s="12" t="n">
        <v>0</v>
      </c>
      <c r="I23" s="11" t="inlineStr"/>
    </row>
    <row r="24">
      <c r="A24" s="5" t="inlineStr">
        <is>
          <t>RV07</t>
        </is>
      </c>
      <c r="B24" s="5" t="inlineStr">
        <is>
          <t>Tiếng Việt có dấu</t>
        </is>
      </c>
      <c r="C24" s="11" t="inlineStr">
        <is>
          <t>cấp ẩm tốt, da căng mọng</t>
        </is>
      </c>
      <c r="D24" s="11" t="inlineStr">
        <is>
          <t>{"product_ids": "P479327", "rating_gte": 4}</t>
        </is>
      </c>
      <c r="E24" s="11" t="inlineStr">
        <is>
          <t>hydrat|plump|moistur|bouncy|dewy|juicy</t>
        </is>
      </c>
      <c r="F24" s="12" t="n">
        <v>5</v>
      </c>
      <c r="G24" s="13" t="n">
        <v>0.8</v>
      </c>
      <c r="H24" s="12" t="n">
        <v>0</v>
      </c>
      <c r="I24" s="11" t="inlineStr">
        <is>
          <t>review/P479327-19795</t>
        </is>
      </c>
    </row>
    <row r="25">
      <c r="A25" s="5" t="inlineStr">
        <is>
          <t>RV07</t>
        </is>
      </c>
      <c r="B25" s="5" t="inlineStr">
        <is>
          <t>Không dấu</t>
        </is>
      </c>
      <c r="C25" s="11" t="inlineStr">
        <is>
          <t>cap am tot, da cang mong</t>
        </is>
      </c>
      <c r="D25" s="11" t="inlineStr">
        <is>
          <t>{"product_ids": "P479327", "rating_gte": 4}</t>
        </is>
      </c>
      <c r="E25" s="11" t="inlineStr">
        <is>
          <t>hydrat|plump|moistur|bouncy|dewy|juicy</t>
        </is>
      </c>
      <c r="F25" s="12" t="n">
        <v>5</v>
      </c>
      <c r="G25" s="13" t="n">
        <v>0.6</v>
      </c>
      <c r="H25" s="12" t="n">
        <v>0</v>
      </c>
      <c r="I25" s="11" t="inlineStr">
        <is>
          <t>review/P479327-19795
review/P479327-21030</t>
        </is>
      </c>
    </row>
    <row r="26">
      <c r="A26" s="5" t="inlineStr">
        <is>
          <t>RV08</t>
        </is>
      </c>
      <c r="B26" s="5" t="inlineStr">
        <is>
          <t>Tiếng Anh</t>
        </is>
      </c>
      <c r="C26" s="11" t="inlineStr">
        <is>
          <t>removes makeup easily</t>
        </is>
      </c>
      <c r="D26" s="11" t="inlineStr">
        <is>
          <t>{"product_ids": "P460516"}</t>
        </is>
      </c>
      <c r="E26" s="11" t="inlineStr">
        <is>
          <t>makeup|make up|mascara|remov|melt|sunscreen</t>
        </is>
      </c>
      <c r="F26" s="12" t="n">
        <v>5</v>
      </c>
      <c r="G26" s="13" t="n">
        <v>1</v>
      </c>
      <c r="H26" s="12" t="n">
        <v>0</v>
      </c>
      <c r="I26" s="11" t="inlineStr"/>
    </row>
    <row r="27">
      <c r="A27" s="5" t="inlineStr">
        <is>
          <t>RV08</t>
        </is>
      </c>
      <c r="B27" s="5" t="inlineStr">
        <is>
          <t>Tiếng Việt có dấu</t>
        </is>
      </c>
      <c r="C27" s="11" t="inlineStr">
        <is>
          <t>tẩy trang sạch dễ dàng</t>
        </is>
      </c>
      <c r="D27" s="11" t="inlineStr">
        <is>
          <t>{"product_ids": "P460516"}</t>
        </is>
      </c>
      <c r="E27" s="11" t="inlineStr">
        <is>
          <t>makeup|make up|mascara|remov|melt|sunscreen</t>
        </is>
      </c>
      <c r="F27" s="12" t="n">
        <v>5</v>
      </c>
      <c r="G27" s="13" t="n">
        <v>1</v>
      </c>
      <c r="H27" s="12" t="n">
        <v>0</v>
      </c>
      <c r="I27" s="11" t="inlineStr"/>
    </row>
    <row r="28">
      <c r="A28" s="5" t="inlineStr">
        <is>
          <t>RV08</t>
        </is>
      </c>
      <c r="B28" s="5" t="inlineStr">
        <is>
          <t>Không dấu</t>
        </is>
      </c>
      <c r="C28" s="11" t="inlineStr">
        <is>
          <t>tay trang sach de dang</t>
        </is>
      </c>
      <c r="D28" s="11" t="inlineStr">
        <is>
          <t>{"product_ids": "P460516"}</t>
        </is>
      </c>
      <c r="E28" s="11" t="inlineStr">
        <is>
          <t>makeup|make up|mascara|remov|melt|sunscreen</t>
        </is>
      </c>
      <c r="F28" s="12" t="n">
        <v>5</v>
      </c>
      <c r="G28" s="13" t="n">
        <v>0.4</v>
      </c>
      <c r="H28" s="12" t="n">
        <v>0</v>
      </c>
      <c r="I28" s="11" t="inlineStr">
        <is>
          <t>review/P460516-11803
review/P460516-12061
review/P460516-11507</t>
        </is>
      </c>
    </row>
    <row r="29">
      <c r="A29" s="5" t="inlineStr">
        <is>
          <t>RV09</t>
        </is>
      </c>
      <c r="B29" s="5" t="inlineStr">
        <is>
          <t>Tiếng Anh</t>
        </is>
      </c>
      <c r="C29" s="11" t="inlineStr">
        <is>
          <t>my dark spots faded</t>
        </is>
      </c>
      <c r="D29" s="11" t="inlineStr">
        <is>
          <t>{"product_ids": "P475543"}</t>
        </is>
      </c>
      <c r="E29" s="11" t="inlineStr">
        <is>
          <t>spot|dark|hyperpig|scar|discolor|mark|fad</t>
        </is>
      </c>
      <c r="F29" s="12" t="n">
        <v>5</v>
      </c>
      <c r="G29" s="13" t="n">
        <v>1</v>
      </c>
      <c r="H29" s="12" t="n">
        <v>0</v>
      </c>
      <c r="I29" s="11" t="inlineStr"/>
    </row>
    <row r="30">
      <c r="A30" s="5" t="inlineStr">
        <is>
          <t>RV09</t>
        </is>
      </c>
      <c r="B30" s="5" t="inlineStr">
        <is>
          <t>Tiếng Việt có dấu</t>
        </is>
      </c>
      <c r="C30" s="11" t="inlineStr">
        <is>
          <t>vết thâm mờ đi</t>
        </is>
      </c>
      <c r="D30" s="11" t="inlineStr">
        <is>
          <t>{"product_ids": "P475543"}</t>
        </is>
      </c>
      <c r="E30" s="11" t="inlineStr">
        <is>
          <t>spot|dark|hyperpig|scar|discolor|mark|fad</t>
        </is>
      </c>
      <c r="F30" s="12" t="n">
        <v>5</v>
      </c>
      <c r="G30" s="13" t="n">
        <v>1</v>
      </c>
      <c r="H30" s="12" t="n">
        <v>0</v>
      </c>
      <c r="I30" s="11" t="inlineStr"/>
    </row>
    <row r="31">
      <c r="A31" s="5" t="inlineStr">
        <is>
          <t>RV09</t>
        </is>
      </c>
      <c r="B31" s="5" t="inlineStr">
        <is>
          <t>Không dấu</t>
        </is>
      </c>
      <c r="C31" s="11" t="inlineStr">
        <is>
          <t>vet tham mo di</t>
        </is>
      </c>
      <c r="D31" s="11" t="inlineStr">
        <is>
          <t>{"product_ids": "P475543"}</t>
        </is>
      </c>
      <c r="E31" s="11" t="inlineStr">
        <is>
          <t>spot|dark|hyperpig|scar|discolor|mark|fad</t>
        </is>
      </c>
      <c r="F31" s="12" t="n">
        <v>5</v>
      </c>
      <c r="G31" s="13" t="n">
        <v>0.2</v>
      </c>
      <c r="H31" s="12" t="n">
        <v>0</v>
      </c>
      <c r="I31" s="11" t="inlineStr">
        <is>
          <t>review/P475543-19295
review/P475543-19251
review/P475543-19309
review/P475543-19363</t>
        </is>
      </c>
    </row>
    <row r="32">
      <c r="A32" s="5" t="inlineStr">
        <is>
          <t>RV10</t>
        </is>
      </c>
      <c r="B32" s="5" t="inlineStr">
        <is>
          <t>Tiếng Anh</t>
        </is>
      </c>
      <c r="C32" s="11" t="inlineStr">
        <is>
          <t>reduced fine lines under my eyes</t>
        </is>
      </c>
      <c r="D32" s="11" t="inlineStr">
        <is>
          <t>{"product_ids": "P447791"}</t>
        </is>
      </c>
      <c r="E32" s="11" t="inlineStr">
        <is>
          <t>line|wrinkle|crow|crease</t>
        </is>
      </c>
      <c r="F32" s="12" t="n">
        <v>5</v>
      </c>
      <c r="G32" s="13" t="n">
        <v>1</v>
      </c>
      <c r="H32" s="12" t="n">
        <v>0</v>
      </c>
      <c r="I32" s="11" t="inlineStr"/>
    </row>
    <row r="33">
      <c r="A33" s="5" t="inlineStr">
        <is>
          <t>RV10</t>
        </is>
      </c>
      <c r="B33" s="5" t="inlineStr">
        <is>
          <t>Tiếng Việt có dấu</t>
        </is>
      </c>
      <c r="C33" s="11" t="inlineStr">
        <is>
          <t>giảm nếp nhăn vùng mắt</t>
        </is>
      </c>
      <c r="D33" s="11" t="inlineStr">
        <is>
          <t>{"product_ids": "P447791"}</t>
        </is>
      </c>
      <c r="E33" s="11" t="inlineStr">
        <is>
          <t>line|wrinkle|crow|crease</t>
        </is>
      </c>
      <c r="F33" s="12" t="n">
        <v>5</v>
      </c>
      <c r="G33" s="13" t="n">
        <v>0.8</v>
      </c>
      <c r="H33" s="12" t="n">
        <v>0</v>
      </c>
      <c r="I33" s="11" t="inlineStr">
        <is>
          <t>review/P447791-05886</t>
        </is>
      </c>
    </row>
    <row r="34">
      <c r="A34" s="5" t="inlineStr">
        <is>
          <t>RV10</t>
        </is>
      </c>
      <c r="B34" s="5" t="inlineStr">
        <is>
          <t>Không dấu</t>
        </is>
      </c>
      <c r="C34" s="11" t="inlineStr">
        <is>
          <t>giam nep nhan vung mat</t>
        </is>
      </c>
      <c r="D34" s="11" t="inlineStr">
        <is>
          <t>{"product_ids": "P447791"}</t>
        </is>
      </c>
      <c r="E34" s="11" t="inlineStr">
        <is>
          <t>line|wrinkle|crow|crease</t>
        </is>
      </c>
      <c r="F34" s="12" t="n">
        <v>5</v>
      </c>
      <c r="G34" s="13" t="n">
        <v>0.2</v>
      </c>
      <c r="H34" s="12" t="n">
        <v>0</v>
      </c>
      <c r="I34" s="11" t="inlineStr">
        <is>
          <t>review/P447791-05886
review/P447791-05644
review/P447791-04744
review/P447791-06313</t>
        </is>
      </c>
    </row>
    <row r="35">
      <c r="A35" s="5" t="inlineStr">
        <is>
          <t>RV11</t>
        </is>
      </c>
      <c r="B35" s="5" t="inlineStr">
        <is>
          <t>Tiếng Anh</t>
        </is>
      </c>
      <c r="C35" s="11" t="inlineStr">
        <is>
          <t>my pores look smaller</t>
        </is>
      </c>
      <c r="D35" s="11" t="inlineStr">
        <is>
          <t>{"product_ids": "P458219", "rating_gte": 4}</t>
        </is>
      </c>
      <c r="E35" s="11" t="inlineStr">
        <is>
          <t>pore</t>
        </is>
      </c>
      <c r="F35" s="12" t="n">
        <v>5</v>
      </c>
      <c r="G35" s="13" t="n">
        <v>1</v>
      </c>
      <c r="H35" s="12" t="n">
        <v>0</v>
      </c>
      <c r="I35" s="11" t="inlineStr"/>
    </row>
    <row r="36">
      <c r="A36" s="5" t="inlineStr">
        <is>
          <t>RV11</t>
        </is>
      </c>
      <c r="B36" s="5" t="inlineStr">
        <is>
          <t>Tiếng Việt có dấu</t>
        </is>
      </c>
      <c r="C36" s="11" t="inlineStr">
        <is>
          <t>lỗ chân lông nhỏ lại</t>
        </is>
      </c>
      <c r="D36" s="11" t="inlineStr">
        <is>
          <t>{"product_ids": "P458219", "rating_gte": 4}</t>
        </is>
      </c>
      <c r="E36" s="11" t="inlineStr">
        <is>
          <t>pore</t>
        </is>
      </c>
      <c r="F36" s="12" t="n">
        <v>5</v>
      </c>
      <c r="G36" s="13" t="n">
        <v>1</v>
      </c>
      <c r="H36" s="12" t="n">
        <v>0</v>
      </c>
      <c r="I36" s="11" t="inlineStr"/>
    </row>
    <row r="37">
      <c r="A37" s="5" t="inlineStr">
        <is>
          <t>RV11</t>
        </is>
      </c>
      <c r="B37" s="5" t="inlineStr">
        <is>
          <t>Không dấu</t>
        </is>
      </c>
      <c r="C37" s="11" t="inlineStr">
        <is>
          <t>lo chan long nho lai</t>
        </is>
      </c>
      <c r="D37" s="11" t="inlineStr">
        <is>
          <t>{"product_ids": "P458219", "rating_gte": 4}</t>
        </is>
      </c>
      <c r="E37" s="11" t="inlineStr">
        <is>
          <t>pore</t>
        </is>
      </c>
      <c r="F37" s="12" t="n">
        <v>5</v>
      </c>
      <c r="G37" s="13" t="n">
        <v>0.2</v>
      </c>
      <c r="H37" s="12" t="n">
        <v>0</v>
      </c>
      <c r="I37" s="11" t="inlineStr">
        <is>
          <t>review/P458219-10036
review/P458219-08904
review/P458219-08559
review/P458219-09978</t>
        </is>
      </c>
    </row>
    <row r="38">
      <c r="A38" s="5" t="inlineStr">
        <is>
          <t>RV12</t>
        </is>
      </c>
      <c r="B38" s="5" t="inlineStr">
        <is>
          <t>Tiếng Anh</t>
        </is>
      </c>
      <c r="C38" s="11" t="inlineStr">
        <is>
          <t>calmed my redness</t>
        </is>
      </c>
      <c r="D38" s="11" t="inlineStr">
        <is>
          <t>{"product_ids": "P470529"}</t>
        </is>
      </c>
      <c r="E38" s="11" t="inlineStr">
        <is>
          <t>red|calm|sooth|rosacea|irritat</t>
        </is>
      </c>
      <c r="F38" s="12" t="n">
        <v>5</v>
      </c>
      <c r="G38" s="13" t="n">
        <v>1</v>
      </c>
      <c r="H38" s="12" t="n">
        <v>0</v>
      </c>
      <c r="I38" s="11" t="inlineStr"/>
    </row>
    <row r="39">
      <c r="A39" s="5" t="inlineStr">
        <is>
          <t>RV12</t>
        </is>
      </c>
      <c r="B39" s="5" t="inlineStr">
        <is>
          <t>Tiếng Việt có dấu</t>
        </is>
      </c>
      <c r="C39" s="11" t="inlineStr">
        <is>
          <t>làm dịu da ửng đỏ</t>
        </is>
      </c>
      <c r="D39" s="11" t="inlineStr">
        <is>
          <t>{"product_ids": "P470529"}</t>
        </is>
      </c>
      <c r="E39" s="11" t="inlineStr">
        <is>
          <t>red|calm|sooth|rosacea|irritat</t>
        </is>
      </c>
      <c r="F39" s="12" t="n">
        <v>5</v>
      </c>
      <c r="G39" s="13" t="n">
        <v>1</v>
      </c>
      <c r="H39" s="12" t="n">
        <v>0</v>
      </c>
      <c r="I39" s="11" t="inlineStr"/>
    </row>
    <row r="40">
      <c r="A40" s="5" t="inlineStr">
        <is>
          <t>RV12</t>
        </is>
      </c>
      <c r="B40" s="5" t="inlineStr">
        <is>
          <t>Không dấu</t>
        </is>
      </c>
      <c r="C40" s="11" t="inlineStr">
        <is>
          <t>lam diu da ung do</t>
        </is>
      </c>
      <c r="D40" s="11" t="inlineStr">
        <is>
          <t>{"product_ids": "P470529"}</t>
        </is>
      </c>
      <c r="E40" s="11" t="inlineStr">
        <is>
          <t>red|calm|sooth|rosacea|irritat</t>
        </is>
      </c>
      <c r="F40" s="12" t="n">
        <v>5</v>
      </c>
      <c r="G40" s="13" t="n">
        <v>0.8</v>
      </c>
      <c r="H40" s="12" t="n">
        <v>0</v>
      </c>
      <c r="I40" s="11" t="inlineStr">
        <is>
          <t>review/P470529-17453</t>
        </is>
      </c>
    </row>
    <row r="41">
      <c r="A41" s="5" t="inlineStr">
        <is>
          <t>RV13</t>
        </is>
      </c>
      <c r="B41" s="5" t="inlineStr">
        <is>
          <t>Tiếng Anh</t>
        </is>
      </c>
      <c r="C41" s="11" t="inlineStr">
        <is>
          <t>too expensive for such a small bottle</t>
        </is>
      </c>
      <c r="D41" s="11" t="inlineStr">
        <is>
          <t>{"product_ids": "P462699"}</t>
        </is>
      </c>
      <c r="E41" s="11" t="inlineStr">
        <is>
          <t>price|expensive|pricey|worth|money|cost|\$|small|tiny|size</t>
        </is>
      </c>
      <c r="F41" s="12" t="n">
        <v>5</v>
      </c>
      <c r="G41" s="13" t="n">
        <v>0.8</v>
      </c>
      <c r="H41" s="12" t="n">
        <v>0</v>
      </c>
      <c r="I41" s="11" t="inlineStr">
        <is>
          <t>review/P462699-13897</t>
        </is>
      </c>
    </row>
    <row r="42">
      <c r="A42" s="5" t="inlineStr">
        <is>
          <t>RV13</t>
        </is>
      </c>
      <c r="B42" s="5" t="inlineStr">
        <is>
          <t>Tiếng Việt có dấu</t>
        </is>
      </c>
      <c r="C42" s="11" t="inlineStr">
        <is>
          <t>quá đắt so với dung tích</t>
        </is>
      </c>
      <c r="D42" s="11" t="inlineStr">
        <is>
          <t>{"product_ids": "P462699"}</t>
        </is>
      </c>
      <c r="E42" s="11" t="inlineStr">
        <is>
          <t>price|expensive|pricey|worth|money|cost|\$|small|tiny|size</t>
        </is>
      </c>
      <c r="F42" s="12" t="n">
        <v>5</v>
      </c>
      <c r="G42" s="13" t="n">
        <v>1</v>
      </c>
      <c r="H42" s="12" t="n">
        <v>0</v>
      </c>
      <c r="I42" s="11" t="inlineStr"/>
    </row>
    <row r="43">
      <c r="A43" s="5" t="inlineStr">
        <is>
          <t>RV13</t>
        </is>
      </c>
      <c r="B43" s="5" t="inlineStr">
        <is>
          <t>Không dấu</t>
        </is>
      </c>
      <c r="C43" s="11" t="inlineStr">
        <is>
          <t>qua dat so voi dung tich</t>
        </is>
      </c>
      <c r="D43" s="11" t="inlineStr">
        <is>
          <t>{"product_ids": "P462699"}</t>
        </is>
      </c>
      <c r="E43" s="11" t="inlineStr">
        <is>
          <t>price|expensive|pricey|worth|money|cost|\$|small|tiny|size</t>
        </is>
      </c>
      <c r="F43" s="12" t="n">
        <v>5</v>
      </c>
      <c r="G43" s="13" t="n">
        <v>0</v>
      </c>
      <c r="H43" s="12" t="n">
        <v>0</v>
      </c>
      <c r="I43" s="11" t="inlineStr">
        <is>
          <t>review/P462699-14177
review/P462699-13857
review/P462699-14089
review/P462699-12925
review/P462699-12576</t>
        </is>
      </c>
    </row>
    <row r="44">
      <c r="A44" s="5" t="inlineStr">
        <is>
          <t>RV14</t>
        </is>
      </c>
      <c r="B44" s="5" t="inlineStr">
        <is>
          <t>Tiếng Anh</t>
        </is>
      </c>
      <c r="C44" s="11" t="inlineStr">
        <is>
          <t>great for my dry skin</t>
        </is>
      </c>
      <c r="D44" s="11" t="inlineStr">
        <is>
          <t>{"product_ids": "P466123", "skin_type": "dry"}</t>
        </is>
      </c>
      <c r="E44" s="11" t="inlineStr">
        <is>
          <t>dry|hydrat|moistur|flak</t>
        </is>
      </c>
      <c r="F44" s="12" t="n">
        <v>5</v>
      </c>
      <c r="G44" s="13" t="n">
        <v>1</v>
      </c>
      <c r="H44" s="12" t="n">
        <v>0</v>
      </c>
      <c r="I44" s="11" t="inlineStr"/>
    </row>
    <row r="45">
      <c r="A45" s="5" t="inlineStr">
        <is>
          <t>RV14</t>
        </is>
      </c>
      <c r="B45" s="5" t="inlineStr">
        <is>
          <t>Tiếng Việt có dấu</t>
        </is>
      </c>
      <c r="C45" s="11" t="inlineStr">
        <is>
          <t>rất hợp với da khô của tôi</t>
        </is>
      </c>
      <c r="D45" s="11" t="inlineStr">
        <is>
          <t>{"product_ids": "P466123", "skin_type": "dry"}</t>
        </is>
      </c>
      <c r="E45" s="11" t="inlineStr">
        <is>
          <t>dry|hydrat|moistur|flak</t>
        </is>
      </c>
      <c r="F45" s="12" t="n">
        <v>5</v>
      </c>
      <c r="G45" s="13" t="n">
        <v>1</v>
      </c>
      <c r="H45" s="12" t="n">
        <v>0</v>
      </c>
      <c r="I45" s="11" t="inlineStr"/>
    </row>
    <row r="46">
      <c r="A46" s="5" t="inlineStr">
        <is>
          <t>RV14</t>
        </is>
      </c>
      <c r="B46" s="5" t="inlineStr">
        <is>
          <t>Không dấu</t>
        </is>
      </c>
      <c r="C46" s="11" t="inlineStr">
        <is>
          <t>rat hop voi da kho cua toi</t>
        </is>
      </c>
      <c r="D46" s="11" t="inlineStr">
        <is>
          <t>{"product_ids": "P466123", "skin_type": "dry"}</t>
        </is>
      </c>
      <c r="E46" s="11" t="inlineStr">
        <is>
          <t>dry|hydrat|moistur|flak</t>
        </is>
      </c>
      <c r="F46" s="12" t="n">
        <v>5</v>
      </c>
      <c r="G46" s="13" t="n">
        <v>0.8</v>
      </c>
      <c r="H46" s="12" t="n">
        <v>0</v>
      </c>
      <c r="I46" s="11" t="inlineStr">
        <is>
          <t>review/P466123-14315</t>
        </is>
      </c>
    </row>
    <row r="47">
      <c r="A47" s="5" t="inlineStr">
        <is>
          <t>RV15</t>
        </is>
      </c>
      <c r="B47" s="5" t="inlineStr">
        <is>
          <t>Tiếng Anh</t>
        </is>
      </c>
      <c r="C47" s="11" t="inlineStr">
        <is>
          <t>stings my eyes</t>
        </is>
      </c>
      <c r="D47" s="11" t="inlineStr">
        <is>
          <t>{"product_ids": "P501760"}</t>
        </is>
      </c>
      <c r="E47" s="11" t="inlineStr">
        <is>
          <t>sting|burn|irritat|water|tear|eyes? (were|was)? ?(red|itch)</t>
        </is>
      </c>
      <c r="F47" s="12" t="n">
        <v>5</v>
      </c>
      <c r="G47" s="13" t="n">
        <v>1</v>
      </c>
      <c r="H47" s="12" t="n">
        <v>0</v>
      </c>
      <c r="I47" s="11" t="inlineStr"/>
    </row>
    <row r="48">
      <c r="A48" s="5" t="inlineStr">
        <is>
          <t>RV15</t>
        </is>
      </c>
      <c r="B48" s="5" t="inlineStr">
        <is>
          <t>Tiếng Việt có dấu</t>
        </is>
      </c>
      <c r="C48" s="11" t="inlineStr">
        <is>
          <t>bị cay mắt</t>
        </is>
      </c>
      <c r="D48" s="11" t="inlineStr">
        <is>
          <t>{"product_ids": "P501760"}</t>
        </is>
      </c>
      <c r="E48" s="11" t="inlineStr">
        <is>
          <t>sting|burn|irritat|water|tear|eyes? (were|was)? ?(red|itch)</t>
        </is>
      </c>
      <c r="F48" s="12" t="n">
        <v>5</v>
      </c>
      <c r="G48" s="13" t="n">
        <v>0.4</v>
      </c>
      <c r="H48" s="12" t="n">
        <v>0</v>
      </c>
      <c r="I48" s="11" t="inlineStr">
        <is>
          <t>review/P501760-25000
review/P501760-24753
review/P501760-24901</t>
        </is>
      </c>
    </row>
    <row r="49">
      <c r="A49" s="5" t="inlineStr">
        <is>
          <t>RV15</t>
        </is>
      </c>
      <c r="B49" s="5" t="inlineStr">
        <is>
          <t>Không dấu</t>
        </is>
      </c>
      <c r="C49" s="11" t="inlineStr">
        <is>
          <t>bi cay mat</t>
        </is>
      </c>
      <c r="D49" s="11" t="inlineStr">
        <is>
          <t>{"product_ids": "P501760"}</t>
        </is>
      </c>
      <c r="E49" s="11" t="inlineStr">
        <is>
          <t>sting|burn|irritat|water|tear|eyes? (were|was)? ?(red|itch)</t>
        </is>
      </c>
      <c r="F49" s="12" t="n">
        <v>5</v>
      </c>
      <c r="G49" s="13" t="n">
        <v>0</v>
      </c>
      <c r="H49" s="12" t="n">
        <v>0</v>
      </c>
      <c r="I49" s="11" t="inlineStr">
        <is>
          <t>review/P501760-24383
review/P501760-25002
review/P501760-24960
review/P501760-25018
review/P501760-24753</t>
        </is>
      </c>
    </row>
  </sheetData>
  <autoFilter ref="A4:I49"/>
  <conditionalFormatting sqref="G5:G49">
    <cfRule type="cellIs" priority="1" operator="greaterThanOrEqual" dxfId="0">
      <formula>0.8</formula>
    </cfRule>
    <cfRule type="cellIs" priority="2" operator="lessThan" dxfId="1">
      <formula>0.5</formula>
    </cfRule>
    <cfRule type="cellIs" priority="3" operator="between" dxfId="2">
      <formula>0.5</formula>
      <formula>0.8</formula>
    </cfRule>
  </conditionalFormatting>
  <conditionalFormatting sqref="H5:H49">
    <cfRule type="cellIs" priority="4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46" customWidth="1" min="4" max="4"/>
    <col width="13" customWidth="1" min="5" max="5"/>
    <col width="10" customWidth="1" min="6" max="6"/>
    <col width="48" customWidth="1" min="7" max="7"/>
  </cols>
  <sheetData>
    <row r="1">
      <c r="A1" s="1" t="inlineStr">
        <is>
          <t>Nhận biết câu hỏi ngoài phạm vi bằng điểm tương đồng</t>
        </is>
      </c>
    </row>
    <row r="2">
      <c r="A2" s="2" t="inlineStr">
        <is>
          <t>Đổi ngưỡng ở ô C4 để xem bao nhiêu câu ngoài phạm vi bị loại (điểm &lt; ngưỡng).</t>
        </is>
      </c>
    </row>
    <row r="4">
      <c r="A4" s="14" t="inlineStr">
        <is>
          <t>Ngưỡng điểm tương đồng (cosine)</t>
        </is>
      </c>
      <c r="C4" s="15" t="n">
        <v>0.768</v>
      </c>
      <c r="D4" s="2" t="inlineStr">
        <is>
          <t>Ngưỡng tốt nhất tìm được trên lần chạy này (giữ 100% câu hợp lệ).</t>
        </is>
      </c>
    </row>
    <row r="5">
      <c r="A5" s="14" t="inlineStr">
        <is>
          <t>Tỉ lệ câu ngoài phạm vi bị loại</t>
        </is>
      </c>
      <c r="C5" s="16">
        <f>COUNTIF(F8:F31,"Có")/COUNTA(F8:F31)</f>
        <v/>
      </c>
    </row>
    <row r="7">
      <c r="A7" s="4" t="inlineStr">
        <is>
          <t>ID</t>
        </is>
      </c>
      <c r="B7" s="4" t="inlineStr">
        <is>
          <t>Ngôn ngữ</t>
        </is>
      </c>
      <c r="C7" s="4" t="inlineStr">
        <is>
          <t>Lý do ngoài phạm vi</t>
        </is>
      </c>
      <c r="D7" s="4" t="inlineStr">
        <is>
          <t>Câu hỏi</t>
        </is>
      </c>
      <c r="E7" s="4" t="inlineStr">
        <is>
          <t>Điểm (cosine)</t>
        </is>
      </c>
      <c r="F7" s="4" t="inlineStr">
        <is>
          <t>Bị loại?</t>
        </is>
      </c>
      <c r="G7" s="4" t="inlineStr">
        <is>
          <t>Chunk gần nhất</t>
        </is>
      </c>
    </row>
    <row r="8">
      <c r="A8" s="5" t="inlineStr">
        <is>
          <t>N01</t>
        </is>
      </c>
      <c r="B8" s="5" t="inlineStr">
        <is>
          <t>Tiếng Anh</t>
        </is>
      </c>
      <c r="C8" s="11" t="inlineStr">
        <is>
          <t>excluded product (lip balm)</t>
        </is>
      </c>
      <c r="D8" s="11" t="inlineStr">
        <is>
          <t>How much is the Glow Lip Pop lip balm?</t>
        </is>
      </c>
      <c r="E8" s="17" t="n">
        <v>0.847</v>
      </c>
      <c r="F8" s="12">
        <f>IF(E8&lt;$C$4,"Có","Không")</f>
        <v/>
      </c>
      <c r="G8" s="11" t="inlineStr">
        <is>
          <t>catalog/overview#catalog-summary</t>
        </is>
      </c>
    </row>
    <row r="9">
      <c r="A9" s="5" t="inlineStr">
        <is>
          <t>N08</t>
        </is>
      </c>
      <c r="B9" s="5" t="inlineStr">
        <is>
          <t>Tiếng Việt</t>
        </is>
      </c>
      <c r="C9" s="11" t="inlineStr">
        <is>
          <t>data not in KB (retail)</t>
        </is>
      </c>
      <c r="D9" s="11" t="inlineStr">
        <is>
          <t>Glow Recipe có cửa hàng ở Việt Nam không?</t>
        </is>
      </c>
      <c r="E9" s="17" t="n">
        <v>0.821</v>
      </c>
      <c r="F9" s="12">
        <f>IF(E9&lt;$C$4,"Có","Không")</f>
        <v/>
      </c>
      <c r="G9" s="11" t="inlineStr">
        <is>
          <t>brand/brand-overview#positioning</t>
        </is>
      </c>
    </row>
    <row r="10">
      <c r="A10" s="5" t="inlineStr">
        <is>
          <t>N01</t>
        </is>
      </c>
      <c r="B10" s="5" t="inlineStr">
        <is>
          <t>Tiếng Việt</t>
        </is>
      </c>
      <c r="C10" s="11" t="inlineStr">
        <is>
          <t>excluded product (lip balm)</t>
        </is>
      </c>
      <c r="D10" s="11" t="inlineStr">
        <is>
          <t>Son dưỡng Glow Lip Pop giá bao nhiêu?</t>
        </is>
      </c>
      <c r="E10" s="17" t="n">
        <v>0.82</v>
      </c>
      <c r="F10" s="12">
        <f>IF(E10&lt;$C$4,"Có","Không")</f>
        <v/>
      </c>
      <c r="G10" s="11" t="inlineStr">
        <is>
          <t>catalog/overview#catalog-summary</t>
        </is>
      </c>
    </row>
    <row r="11">
      <c r="A11" s="5" t="inlineStr">
        <is>
          <t>N10</t>
        </is>
      </c>
      <c r="B11" s="5" t="inlineStr">
        <is>
          <t>Tiếng Anh</t>
        </is>
      </c>
      <c r="C11" s="11" t="inlineStr">
        <is>
          <t>competitor product</t>
        </is>
      </c>
      <c r="D11" s="11" t="inlineStr">
        <is>
          <t>How much does the Rare Beauty liquid blush cost?</t>
        </is>
      </c>
      <c r="E11" s="17" t="n">
        <v>0.8179999999999999</v>
      </c>
      <c r="F11" s="12">
        <f>IF(E11&lt;$C$4,"Có","Không")</f>
        <v/>
      </c>
      <c r="G11" s="11" t="inlineStr">
        <is>
          <t>policy/shipping#useful-for-copy</t>
        </is>
      </c>
    </row>
    <row r="12">
      <c r="A12" s="5" t="inlineStr">
        <is>
          <t>N08</t>
        </is>
      </c>
      <c r="B12" s="5" t="inlineStr">
        <is>
          <t>Tiếng Anh</t>
        </is>
      </c>
      <c r="C12" s="11" t="inlineStr">
        <is>
          <t>data not in KB (retail)</t>
        </is>
      </c>
      <c r="D12" s="11" t="inlineStr">
        <is>
          <t>Does Glow Recipe have physical stores in Vietnam?</t>
        </is>
      </c>
      <c r="E12" s="17" t="n">
        <v>0.8169999999999999</v>
      </c>
      <c r="F12" s="12">
        <f>IF(E12&lt;$C$4,"Có","Không")</f>
        <v/>
      </c>
      <c r="G12" s="11" t="inlineStr">
        <is>
          <t>brand/brand-overview#positioning</t>
        </is>
      </c>
    </row>
    <row r="13">
      <c r="A13" s="5" t="inlineStr">
        <is>
          <t>N02</t>
        </is>
      </c>
      <c r="B13" s="5" t="inlineStr">
        <is>
          <t>Tiếng Anh</t>
        </is>
      </c>
      <c r="C13" s="11" t="inlineStr">
        <is>
          <t>excluded product (kit)</t>
        </is>
      </c>
      <c r="D13" s="11" t="inlineStr">
        <is>
          <t>What is inside the Fruit Babies Bestsellers Kit?</t>
        </is>
      </c>
      <c r="E13" s="17" t="n">
        <v>0.8100000000000001</v>
      </c>
      <c r="F13" s="12">
        <f>IF(E13&lt;$C$4,"Có","Không")</f>
        <v/>
      </c>
      <c r="G13" s="11" t="inlineStr">
        <is>
          <t>catalog/overview#catalog-summary</t>
        </is>
      </c>
    </row>
    <row r="14">
      <c r="A14" s="5" t="inlineStr">
        <is>
          <t>N09</t>
        </is>
      </c>
      <c r="B14" s="5" t="inlineStr">
        <is>
          <t>Tiếng Anh</t>
        </is>
      </c>
      <c r="C14" s="11" t="inlineStr">
        <is>
          <t>category not sold</t>
        </is>
      </c>
      <c r="D14" s="11" t="inlineStr">
        <is>
          <t>Recommend a perfume for men</t>
        </is>
      </c>
      <c r="E14" s="17" t="n">
        <v>0.8080000000000001</v>
      </c>
      <c r="F14" s="12">
        <f>IF(E14&lt;$C$4,"Có","Không")</f>
        <v/>
      </c>
      <c r="G14" s="11" t="inlineStr">
        <is>
          <t>brand/voice-guide#talking-about-scent</t>
        </is>
      </c>
    </row>
    <row r="15">
      <c r="A15" s="5" t="inlineStr">
        <is>
          <t>N02</t>
        </is>
      </c>
      <c r="B15" s="5" t="inlineStr">
        <is>
          <t>Tiếng Việt</t>
        </is>
      </c>
      <c r="C15" s="11" t="inlineStr">
        <is>
          <t>excluded product (kit)</t>
        </is>
      </c>
      <c r="D15" s="11" t="inlineStr">
        <is>
          <t>Bộ Fruit Babies Bestsellers Kit gồm những gì?</t>
        </is>
      </c>
      <c r="E15" s="17" t="n">
        <v>0.801</v>
      </c>
      <c r="F15" s="12">
        <f>IF(E15&lt;$C$4,"Có","Không")</f>
        <v/>
      </c>
      <c r="G15" s="11" t="inlineStr">
        <is>
          <t>catalog/overview#catalog-summary</t>
        </is>
      </c>
    </row>
    <row r="16">
      <c r="A16" s="5" t="inlineStr">
        <is>
          <t>N04</t>
        </is>
      </c>
      <c r="B16" s="5" t="inlineStr">
        <is>
          <t>Tiếng Anh</t>
        </is>
      </c>
      <c r="C16" s="11" t="inlineStr">
        <is>
          <t>category not sold</t>
        </is>
      </c>
      <c r="D16" s="11" t="inlineStr">
        <is>
          <t>Do you sell a hair shampoo?</t>
        </is>
      </c>
      <c r="E16" s="17" t="n">
        <v>0.801</v>
      </c>
      <c r="F16" s="12">
        <f>IF(E16&lt;$C$4,"Có","Không")</f>
        <v/>
      </c>
      <c r="G16" s="11" t="inlineStr">
        <is>
          <t>sop/influencer-brief#product-specific-notes-from-customer-research</t>
        </is>
      </c>
    </row>
    <row r="17">
      <c r="A17" s="5" t="inlineStr">
        <is>
          <t>N09</t>
        </is>
      </c>
      <c r="B17" s="5" t="inlineStr">
        <is>
          <t>Tiếng Việt</t>
        </is>
      </c>
      <c r="C17" s="11" t="inlineStr">
        <is>
          <t>category not sold</t>
        </is>
      </c>
      <c r="D17" s="11" t="inlineStr">
        <is>
          <t>Gợi ý nước hoa cho nam</t>
        </is>
      </c>
      <c r="E17" s="17" t="n">
        <v>0.798</v>
      </c>
      <c r="F17" s="12">
        <f>IF(E17&lt;$C$4,"Có","Không")</f>
        <v/>
      </c>
      <c r="G17" s="11" t="inlineStr">
        <is>
          <t>research/insights-line-papaya#themes</t>
        </is>
      </c>
    </row>
    <row r="18">
      <c r="A18" s="5" t="inlineStr">
        <is>
          <t>N06</t>
        </is>
      </c>
      <c r="B18" s="5" t="inlineStr">
        <is>
          <t>Tiếng Anh</t>
        </is>
      </c>
      <c r="C18" s="11" t="inlineStr">
        <is>
          <t>off-topic (account support)</t>
        </is>
      </c>
      <c r="D18" s="11" t="inlineStr">
        <is>
          <t>How do I reset my account password?</t>
        </is>
      </c>
      <c r="E18" s="17" t="n">
        <v>0.795</v>
      </c>
      <c r="F18" s="12">
        <f>IF(E18&lt;$C$4,"Có","Không")</f>
        <v/>
      </c>
      <c r="G18" s="11" t="inlineStr">
        <is>
          <t>sop/adverse-event-escalation#customer-script</t>
        </is>
      </c>
    </row>
    <row r="19">
      <c r="A19" s="5" t="inlineStr">
        <is>
          <t>N03</t>
        </is>
      </c>
      <c r="B19" s="5" t="inlineStr">
        <is>
          <t>Tiếng Anh</t>
        </is>
      </c>
      <c r="C19" s="11" t="inlineStr">
        <is>
          <t>other company</t>
        </is>
      </c>
      <c r="D19" s="11" t="inlineStr">
        <is>
          <t>Who is the CEO of Sephora?</t>
        </is>
      </c>
      <c r="E19" s="17" t="n">
        <v>0.791</v>
      </c>
      <c r="F19" s="12">
        <f>IF(E19&lt;$C$4,"Có","Không")</f>
        <v/>
      </c>
      <c r="G19" s="11" t="inlineStr">
        <is>
          <t>brand/claims-policy#cp-09</t>
        </is>
      </c>
    </row>
    <row r="20">
      <c r="A20" s="5" t="inlineStr">
        <is>
          <t>N12</t>
        </is>
      </c>
      <c r="B20" s="5" t="inlineStr">
        <is>
          <t>Tiếng Anh</t>
        </is>
      </c>
      <c r="C20" s="11" t="inlineStr">
        <is>
          <t>off-topic (coding)</t>
        </is>
      </c>
      <c r="D20" s="11" t="inlineStr">
        <is>
          <t>Write a Python function that sorts a list</t>
        </is>
      </c>
      <c r="E20" s="17" t="n">
        <v>0.781</v>
      </c>
      <c r="F20" s="12">
        <f>IF(E20&lt;$C$4,"Có","Không")</f>
        <v/>
      </c>
      <c r="G20" s="11" t="inlineStr">
        <is>
          <t>creative/learnings-2023#ct-08</t>
        </is>
      </c>
    </row>
    <row r="21">
      <c r="A21" s="5" t="inlineStr">
        <is>
          <t>N07</t>
        </is>
      </c>
      <c r="B21" s="5" t="inlineStr">
        <is>
          <t>Tiếng Anh</t>
        </is>
      </c>
      <c r="C21" s="11" t="inlineStr">
        <is>
          <t>data not in KB (financials)</t>
        </is>
      </c>
      <c r="D21" s="11" t="inlineStr">
        <is>
          <t>What was revenue in Q3 2024?</t>
        </is>
      </c>
      <c r="E21" s="17" t="n">
        <v>0.78</v>
      </c>
      <c r="F21" s="12">
        <f>IF(E21&lt;$C$4,"Có","Không")</f>
        <v/>
      </c>
      <c r="G21" s="11" t="inlineStr">
        <is>
          <t>creative/learnings-2023#open-questions-and-data-gaps</t>
        </is>
      </c>
    </row>
    <row r="22">
      <c r="A22" s="5" t="inlineStr">
        <is>
          <t>N10</t>
        </is>
      </c>
      <c r="B22" s="5" t="inlineStr">
        <is>
          <t>Tiếng Việt</t>
        </is>
      </c>
      <c r="C22" s="11" t="inlineStr">
        <is>
          <t>competitor product</t>
        </is>
      </c>
      <c r="D22" s="11" t="inlineStr">
        <is>
          <t>Má hồng Rare Beauty giá bao nhiêu?</t>
        </is>
      </c>
      <c r="E22" s="17" t="n">
        <v>0.778</v>
      </c>
      <c r="F22" s="12">
        <f>IF(E22&lt;$C$4,"Có","Không")</f>
        <v/>
      </c>
      <c r="G22" s="11" t="inlineStr">
        <is>
          <t>catalog/overview#products-by-price</t>
        </is>
      </c>
    </row>
    <row r="23">
      <c r="A23" s="5" t="inlineStr">
        <is>
          <t>N04</t>
        </is>
      </c>
      <c r="B23" s="5" t="inlineStr">
        <is>
          <t>Tiếng Việt</t>
        </is>
      </c>
      <c r="C23" s="11" t="inlineStr">
        <is>
          <t>category not sold</t>
        </is>
      </c>
      <c r="D23" s="11" t="inlineStr">
        <is>
          <t>Có bán dầu gội đầu không?</t>
        </is>
      </c>
      <c r="E23" s="17" t="n">
        <v>0.762</v>
      </c>
      <c r="F23" s="12">
        <f>IF(E23&lt;$C$4,"Có","Không")</f>
        <v/>
      </c>
      <c r="G23" s="11" t="inlineStr">
        <is>
          <t>brand/claims-policy#cp-02</t>
        </is>
      </c>
    </row>
    <row r="24">
      <c r="A24" s="5" t="inlineStr">
        <is>
          <t>N12</t>
        </is>
      </c>
      <c r="B24" s="5" t="inlineStr">
        <is>
          <t>Tiếng Việt</t>
        </is>
      </c>
      <c r="C24" s="11" t="inlineStr">
        <is>
          <t>off-topic (coding)</t>
        </is>
      </c>
      <c r="D24" s="11" t="inlineStr">
        <is>
          <t>Viết hàm Python sắp xếp một danh sách</t>
        </is>
      </c>
      <c r="E24" s="17" t="n">
        <v>0.76</v>
      </c>
      <c r="F24" s="12">
        <f>IF(E24&lt;$C$4,"Có","Không")</f>
        <v/>
      </c>
      <c r="G24" s="11" t="inlineStr">
        <is>
          <t>sop/ad-claim-review#ai-generated-copy</t>
        </is>
      </c>
    </row>
    <row r="25">
      <c r="A25" s="5" t="inlineStr">
        <is>
          <t>N03</t>
        </is>
      </c>
      <c r="B25" s="5" t="inlineStr">
        <is>
          <t>Tiếng Việt</t>
        </is>
      </c>
      <c r="C25" s="11" t="inlineStr">
        <is>
          <t>other company</t>
        </is>
      </c>
      <c r="D25" s="11" t="inlineStr">
        <is>
          <t>CEO của Sephora là ai?</t>
        </is>
      </c>
      <c r="E25" s="17" t="n">
        <v>0.758</v>
      </c>
      <c r="F25" s="12">
        <f>IF(E25&lt;$C$4,"Có","Không")</f>
        <v/>
      </c>
      <c r="G25" s="11" t="inlineStr">
        <is>
          <t>brand/claims-policy#cp-09</t>
        </is>
      </c>
    </row>
    <row r="26">
      <c r="A26" s="5" t="inlineStr">
        <is>
          <t>N11</t>
        </is>
      </c>
      <c r="B26" s="5" t="inlineStr">
        <is>
          <t>Tiếng Anh</t>
        </is>
      </c>
      <c r="C26" s="11" t="inlineStr">
        <is>
          <t>data not in KB (HR)</t>
        </is>
      </c>
      <c r="D26" s="11" t="inlineStr">
        <is>
          <t>How many employees does the company have?</t>
        </is>
      </c>
      <c r="E26" s="17" t="n">
        <v>0.756</v>
      </c>
      <c r="F26" s="12">
        <f>IF(E26&lt;$C$4,"Có","Không")</f>
        <v/>
      </c>
      <c r="G26" s="11" t="inlineStr">
        <is>
          <t>research/insights-P504125#how-to-read-this</t>
        </is>
      </c>
    </row>
    <row r="27">
      <c r="A27" s="5" t="inlineStr">
        <is>
          <t>N07</t>
        </is>
      </c>
      <c r="B27" s="5" t="inlineStr">
        <is>
          <t>Tiếng Việt</t>
        </is>
      </c>
      <c r="C27" s="11" t="inlineStr">
        <is>
          <t>data not in KB (financials)</t>
        </is>
      </c>
      <c r="D27" s="11" t="inlineStr">
        <is>
          <t>Doanh thu quý 3 năm 2024 là bao nhiêu?</t>
        </is>
      </c>
      <c r="E27" s="17" t="n">
        <v>0.755</v>
      </c>
      <c r="F27" s="12">
        <f>IF(E27&lt;$C$4,"Có","Không")</f>
        <v/>
      </c>
      <c r="G27" s="11" t="inlineStr">
        <is>
          <t>creative/learnings-2023#open-questions-and-data-gaps</t>
        </is>
      </c>
    </row>
    <row r="28">
      <c r="A28" s="5" t="inlineStr">
        <is>
          <t>N05</t>
        </is>
      </c>
      <c r="B28" s="5" t="inlineStr">
        <is>
          <t>Tiếng Anh</t>
        </is>
      </c>
      <c r="C28" s="11" t="inlineStr">
        <is>
          <t>off-topic</t>
        </is>
      </c>
      <c r="D28" s="11" t="inlineStr">
        <is>
          <t>What will the weather be like in Hanoi tomorrow?</t>
        </is>
      </c>
      <c r="E28" s="17" t="n">
        <v>0.754</v>
      </c>
      <c r="F28" s="12">
        <f>IF(E28&lt;$C$4,"Có","Không")</f>
        <v/>
      </c>
      <c r="G28" s="11" t="inlineStr">
        <is>
          <t>research/insights-P481989#evidence-by-theme-2</t>
        </is>
      </c>
    </row>
    <row r="29">
      <c r="A29" s="5" t="inlineStr">
        <is>
          <t>N06</t>
        </is>
      </c>
      <c r="B29" s="5" t="inlineStr">
        <is>
          <t>Tiếng Việt</t>
        </is>
      </c>
      <c r="C29" s="11" t="inlineStr">
        <is>
          <t>off-topic (account support)</t>
        </is>
      </c>
      <c r="D29" s="11" t="inlineStr">
        <is>
          <t>Làm sao để đổi mật khẩu tài khoản?</t>
        </is>
      </c>
      <c r="E29" s="17" t="n">
        <v>0.746</v>
      </c>
      <c r="F29" s="12">
        <f>IF(E29&lt;$C$4,"Có","Không")</f>
        <v/>
      </c>
      <c r="G29" s="11" t="inlineStr">
        <is>
          <t>creative/learnings-2023#ct-02</t>
        </is>
      </c>
    </row>
    <row r="30">
      <c r="A30" s="5" t="inlineStr">
        <is>
          <t>N11</t>
        </is>
      </c>
      <c r="B30" s="5" t="inlineStr">
        <is>
          <t>Tiếng Việt</t>
        </is>
      </c>
      <c r="C30" s="11" t="inlineStr">
        <is>
          <t>data not in KB (HR)</t>
        </is>
      </c>
      <c r="D30" s="11" t="inlineStr">
        <is>
          <t>Công ty có bao nhiêu nhân viên?</t>
        </is>
      </c>
      <c r="E30" s="17" t="n">
        <v>0.715</v>
      </c>
      <c r="F30" s="12">
        <f>IF(E30&lt;$C$4,"Có","Không")</f>
        <v/>
      </c>
      <c r="G30" s="11" t="inlineStr">
        <is>
          <t>creative/learnings-2023#open-questions-and-data-gaps</t>
        </is>
      </c>
    </row>
    <row r="31">
      <c r="A31" s="5" t="inlineStr">
        <is>
          <t>N05</t>
        </is>
      </c>
      <c r="B31" s="5" t="inlineStr">
        <is>
          <t>Tiếng Việt</t>
        </is>
      </c>
      <c r="C31" s="11" t="inlineStr">
        <is>
          <t>off-topic</t>
        </is>
      </c>
      <c r="D31" s="11" t="inlineStr">
        <is>
          <t>Thời tiết Hà Nội ngày mai thế nào?</t>
        </is>
      </c>
      <c r="E31" s="17" t="n">
        <v>0.701</v>
      </c>
      <c r="F31" s="12">
        <f>IF(E31&lt;$C$4,"Có","Không")</f>
        <v/>
      </c>
      <c r="G31" s="11" t="inlineStr">
        <is>
          <t>research/insights-P462699#evidence-by-theme-1</t>
        </is>
      </c>
    </row>
    <row r="33">
      <c r="A33" s="14" t="inlineStr">
        <is>
          <t>Tham chiếu: điểm của câu hỏi hợp lệ (phần A, tiếng Anh + tiếng Việt)</t>
        </is>
      </c>
    </row>
    <row r="34">
      <c r="A34" s="18" t="inlineStr">
        <is>
          <t>Thấp nhất</t>
        </is>
      </c>
      <c r="C34" s="19" t="n">
        <v>0.768</v>
      </c>
    </row>
    <row r="35">
      <c r="A35" s="18" t="inlineStr">
        <is>
          <t>Trung vị</t>
        </is>
      </c>
      <c r="C35" s="19" t="n">
        <v>0.838</v>
      </c>
    </row>
    <row r="36">
      <c r="A36" s="18" t="inlineStr">
        <is>
          <t>Cao nhất</t>
        </is>
      </c>
      <c r="C36" s="19" t="n">
        <v>0.909</v>
      </c>
    </row>
  </sheetData>
  <conditionalFormatting sqref="F8:F31">
    <cfRule type="cellIs" priority="1" operator="equal" dxfId="0">
      <formula>"Có"</formula>
    </cfRule>
    <cfRule type="cellIs" priority="2" operator="equal" dxfId="1">
      <formula>"Không"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2026-10-07T08:00:32Z</dcterms:created>
  <dcterms:modified xsi:type="dcterms:W3CDTF">2026-10-07T08:00:32Z</dcterms:modified>
</cp:coreProperties>
</file>